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bit\Downloads\"/>
    </mc:Choice>
  </mc:AlternateContent>
  <xr:revisionPtr revIDLastSave="0" documentId="13_ncr:1_{CD0E7FB7-BCC9-40C0-911E-92ABD66068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undpreis" sheetId="1" r:id="rId1"/>
    <sheet name="Versicherung" sheetId="2" r:id="rId2"/>
    <sheet name="Zusatzservices" sheetId="3" r:id="rId3"/>
    <sheet name="Sonderregeln nach Warenart" sheetId="4" r:id="rId4"/>
    <sheet name="Entscheidungsregeln" sheetId="5" r:id="rId5"/>
    <sheet name="Testfälle" sheetId="6" r:id="rId6"/>
    <sheet name="Gewichtung" sheetId="8" r:id="rId7"/>
    <sheet name="Sensitivitä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/>
</calcChain>
</file>

<file path=xl/sharedStrings.xml><?xml version="1.0" encoding="utf-8"?>
<sst xmlns="http://schemas.openxmlformats.org/spreadsheetml/2006/main" count="1181" uniqueCount="503">
  <si>
    <t>Carrier</t>
  </si>
  <si>
    <t>Versandart</t>
  </si>
  <si>
    <t>Gewicht max.</t>
  </si>
  <si>
    <t>Abmessungen L×B×H</t>
  </si>
  <si>
    <t>Grundpreis</t>
  </si>
  <si>
    <t>Tracking</t>
  </si>
  <si>
    <t>Haftung</t>
  </si>
  <si>
    <t>Laufzeit</t>
  </si>
  <si>
    <t>Empfängertyp</t>
  </si>
  <si>
    <t>Auslandsversand</t>
  </si>
  <si>
    <t>DHL</t>
  </si>
  <si>
    <t>Warensendung</t>
  </si>
  <si>
    <t>1 kg</t>
  </si>
  <si>
    <t>35,3×25×5 cm</t>
  </si>
  <si>
    <t>2,70 €</t>
  </si>
  <si>
    <t>Nein</t>
  </si>
  <si>
    <t>ca. 4 Werktage</t>
  </si>
  <si>
    <t>B2C/B2B</t>
  </si>
  <si>
    <t>Päckchen S</t>
  </si>
  <si>
    <t>2 kg</t>
  </si>
  <si>
    <t>35×25×10 cm</t>
  </si>
  <si>
    <t>4,19 €</t>
  </si>
  <si>
    <t>1–2 Werktage</t>
  </si>
  <si>
    <t>Ja</t>
  </si>
  <si>
    <t>Päckchen M</t>
  </si>
  <si>
    <t>60×30×15 cm</t>
  </si>
  <si>
    <t>5,19 €</t>
  </si>
  <si>
    <t>Paket 2 kg</t>
  </si>
  <si>
    <t>6,19 €</t>
  </si>
  <si>
    <t>bis 500 €</t>
  </si>
  <si>
    <t>Paket 5 kg</t>
  </si>
  <si>
    <t>5 kg</t>
  </si>
  <si>
    <t>120×60×60 cm</t>
  </si>
  <si>
    <t>7,69 €</t>
  </si>
  <si>
    <t>Paket 10 kg</t>
  </si>
  <si>
    <t>10 kg</t>
  </si>
  <si>
    <t>10,49 €</t>
  </si>
  <si>
    <t>Paket 20 kg</t>
  </si>
  <si>
    <t>20 kg</t>
  </si>
  <si>
    <t>18,99 €</t>
  </si>
  <si>
    <t>Paket 31,5 kg</t>
  </si>
  <si>
    <t>31,5 kg</t>
  </si>
  <si>
    <t>23,99 €</t>
  </si>
  <si>
    <t>DPD</t>
  </si>
  <si>
    <t>Shop2Shop XS</t>
  </si>
  <si>
    <t>bis 35 cm</t>
  </si>
  <si>
    <t>4,00 €</t>
  </si>
  <si>
    <t>bis 520 €</t>
  </si>
  <si>
    <t>Shop2Shop S</t>
  </si>
  <si>
    <t>bis 50 cm</t>
  </si>
  <si>
    <t>4,50 €</t>
  </si>
  <si>
    <t>Shop2Shop M</t>
  </si>
  <si>
    <t>bis 70 cm</t>
  </si>
  <si>
    <t>5,90 €</t>
  </si>
  <si>
    <t>Shop2Shop L</t>
  </si>
  <si>
    <t>bis 90 cm</t>
  </si>
  <si>
    <t>9,70 €</t>
  </si>
  <si>
    <t>Classic XS</t>
  </si>
  <si>
    <t>4,39 €</t>
  </si>
  <si>
    <t>Classic S</t>
  </si>
  <si>
    <t>4,99 €</t>
  </si>
  <si>
    <t>Classic M</t>
  </si>
  <si>
    <t>6,40 €</t>
  </si>
  <si>
    <t>Classic L</t>
  </si>
  <si>
    <t>9,90 €</t>
  </si>
  <si>
    <t>Classic XL</t>
  </si>
  <si>
    <t>Gurtmaß bis 300 cm</t>
  </si>
  <si>
    <t>16,90 €</t>
  </si>
  <si>
    <t>GLS</t>
  </si>
  <si>
    <t>XS</t>
  </si>
  <si>
    <t>40 kg</t>
  </si>
  <si>
    <t>max. 35 cm</t>
  </si>
  <si>
    <t>4,59 €</t>
  </si>
  <si>
    <t>AGB-Haftung</t>
  </si>
  <si>
    <t>1 Werktag</t>
  </si>
  <si>
    <t>S</t>
  </si>
  <si>
    <t>max. 50 cm</t>
  </si>
  <si>
    <t>5,49 €</t>
  </si>
  <si>
    <t>M</t>
  </si>
  <si>
    <t>max. 70 cm</t>
  </si>
  <si>
    <t>6,89 €</t>
  </si>
  <si>
    <t>L</t>
  </si>
  <si>
    <t>max. 90 cm</t>
  </si>
  <si>
    <t>10,99 €</t>
  </si>
  <si>
    <t>XL</t>
  </si>
  <si>
    <t>max. 3 m Gurtmaß</t>
  </si>
  <si>
    <t>Euro XS</t>
  </si>
  <si>
    <t>1–6 Werktage</t>
  </si>
  <si>
    <t>Euro S</t>
  </si>
  <si>
    <t>13,00 €</t>
  </si>
  <si>
    <t>Euro M</t>
  </si>
  <si>
    <t>16,00 €</t>
  </si>
  <si>
    <t>Euro L</t>
  </si>
  <si>
    <t>21,00 €</t>
  </si>
  <si>
    <t>Euro XL</t>
  </si>
  <si>
    <t>30,00 €</t>
  </si>
  <si>
    <t>Regel</t>
  </si>
  <si>
    <t>Warenwert</t>
  </si>
  <si>
    <t>Versicherung</t>
  </si>
  <si>
    <t>Aufpreis</t>
  </si>
  <si>
    <t>Gesamtkosten-Formel</t>
  </si>
  <si>
    <t>DHL-1</t>
  </si>
  <si>
    <t>0–500 €</t>
  </si>
  <si>
    <t>Keine Zusatzversicherung nötig</t>
  </si>
  <si>
    <t>DHL-2</t>
  </si>
  <si>
    <t>500,01–2.500 €</t>
  </si>
  <si>
    <t>Transportversicherung bis 2.500 €</t>
  </si>
  <si>
    <t>6,99 €</t>
  </si>
  <si>
    <t>Grundpreis + 6,99 €</t>
  </si>
  <si>
    <t>DHL-3</t>
  </si>
  <si>
    <t>2.500,01–25.000 €</t>
  </si>
  <si>
    <t>Transportversicherung bis 25.000 €</t>
  </si>
  <si>
    <t>19,99 €</t>
  </si>
  <si>
    <t>Grundpreis + 19,99 €</t>
  </si>
  <si>
    <t>DHL-4</t>
  </si>
  <si>
    <t>über 25.000 €</t>
  </si>
  <si>
    <t>Nicht zulässig</t>
  </si>
  <si>
    <t>-</t>
  </si>
  <si>
    <t>DHL ablehnen</t>
  </si>
  <si>
    <t>DPD-1</t>
  </si>
  <si>
    <t>0-520 €</t>
  </si>
  <si>
    <t>Standardhaftung enthalten</t>
  </si>
  <si>
    <t>DPD-2</t>
  </si>
  <si>
    <t>520-2500 €</t>
  </si>
  <si>
    <t>Höherversicherung empfohlen</t>
  </si>
  <si>
    <t>individuell</t>
  </si>
  <si>
    <t>Grundpreis + Versicherung</t>
  </si>
  <si>
    <t>DPD-3</t>
  </si>
  <si>
    <t>2500-10000 €</t>
  </si>
  <si>
    <t>Höherversicherung erforderlich</t>
  </si>
  <si>
    <t>DPD-4</t>
  </si>
  <si>
    <t>über 10000 €</t>
  </si>
  <si>
    <t>Manuelle Prüfung</t>
  </si>
  <si>
    <t>Sonderfall</t>
  </si>
  <si>
    <t>GLS-V1</t>
  </si>
  <si>
    <t>bis Haftungsgrenze</t>
  </si>
  <si>
    <t>Standardhaftung</t>
  </si>
  <si>
    <t>GLS-V2</t>
  </si>
  <si>
    <t>über Haftungsgrenze</t>
  </si>
  <si>
    <t>Zusatzversicherung empfohlen</t>
  </si>
  <si>
    <t>GLS-V3</t>
  </si>
  <si>
    <t>Warenwert &gt; 5000 €</t>
  </si>
  <si>
    <t>Sonderprüfung erforderlich</t>
  </si>
  <si>
    <t>GLS-V4</t>
  </si>
  <si>
    <t>Warenwert &gt; 25000 € an gleichen Empfänger pro Tag</t>
  </si>
  <si>
    <t>nicht zulässig</t>
  </si>
  <si>
    <t>Service</t>
  </si>
  <si>
    <t>Bedingung</t>
  </si>
  <si>
    <t xml:space="preserve">DHL </t>
  </si>
  <si>
    <t>Abholung</t>
  </si>
  <si>
    <t>nur online</t>
  </si>
  <si>
    <t>3,00 €</t>
  </si>
  <si>
    <t>Alterssichtprüfung</t>
  </si>
  <si>
    <t>1,99 €</t>
  </si>
  <si>
    <t>Nachnahme</t>
  </si>
  <si>
    <t>8,99 €</t>
  </si>
  <si>
    <t>Rolle</t>
  </si>
  <si>
    <t>bei Rollenversand</t>
  </si>
  <si>
    <t>3,99 €</t>
  </si>
  <si>
    <t>Sperrgut</t>
  </si>
  <si>
    <t>bei Überschreitung der Paketmaße / Sonderform</t>
  </si>
  <si>
    <t>28,99 €</t>
  </si>
  <si>
    <t>bei Warenwert über 500 €</t>
  </si>
  <si>
    <t>bei Warenwert über 2.500 €</t>
  </si>
  <si>
    <t>Liefertag</t>
  </si>
  <si>
    <t>0,99 €</t>
  </si>
  <si>
    <t>DPD EXPRESS</t>
  </si>
  <si>
    <t>Zustellung Ende des Tages</t>
  </si>
  <si>
    <t>ab 17,00 €</t>
  </si>
  <si>
    <t>DPD 12:00</t>
  </si>
  <si>
    <t>Zustellung bis 12 Uhr</t>
  </si>
  <si>
    <t>ab 22,00 €</t>
  </si>
  <si>
    <t>DPD 08:30</t>
  </si>
  <si>
    <t>Zustellung bis 08:30 Uhr</t>
  </si>
  <si>
    <t>DPD Samstag</t>
  </si>
  <si>
    <t>Zustellung Samstag bis 12 Uhr</t>
  </si>
  <si>
    <t>ab 42,00 €</t>
  </si>
  <si>
    <t>ID Check</t>
  </si>
  <si>
    <t>Alters-/Identitätsprüfung</t>
  </si>
  <si>
    <t>je nach Vertrag</t>
  </si>
  <si>
    <t>Rückholung</t>
  </si>
  <si>
    <t>Abholung beim Empfänger</t>
  </si>
  <si>
    <t>Predict</t>
  </si>
  <si>
    <t>Zeitfensterankündigung</t>
  </si>
  <si>
    <t>inklusive</t>
  </si>
  <si>
    <t>E-Mail Benachrichtigung</t>
  </si>
  <si>
    <t>Sendungsinformation</t>
  </si>
  <si>
    <t>Beschreibung</t>
  </si>
  <si>
    <t>CashService</t>
  </si>
  <si>
    <t>Nachnahme / Barzahlung bei Zustellung</t>
  </si>
  <si>
    <t>FlexDeliveryService</t>
  </si>
  <si>
    <t>Flexible Zustelloptionen</t>
  </si>
  <si>
    <t>ShopDeliveryService</t>
  </si>
  <si>
    <t>Lieferung an GLS PaketShop</t>
  </si>
  <si>
    <t>ShopReturnService</t>
  </si>
  <si>
    <t>Retouren über PaketShop</t>
  </si>
  <si>
    <t>Pick&amp;ShipService</t>
  </si>
  <si>
    <t>Abholung und Zustellung</t>
  </si>
  <si>
    <t>Pick&amp;ReturnService</t>
  </si>
  <si>
    <t>Abholung und Rücksendung</t>
  </si>
  <si>
    <t>SignatureService</t>
  </si>
  <si>
    <t>Unterschrift erforderlich</t>
  </si>
  <si>
    <t>Guaranteed24Service</t>
  </si>
  <si>
    <t>Garantierte Zustellung am nächsten Werktag</t>
  </si>
  <si>
    <t>TimeDefiniteService</t>
  </si>
  <si>
    <t>Zustellung vor 8, 9, 10 oder 12 Uhr</t>
  </si>
  <si>
    <t>SaturdayService</t>
  </si>
  <si>
    <t>Samstagszustellung</t>
  </si>
  <si>
    <t>IdentPINService</t>
  </si>
  <si>
    <t>PIN-basierte Übergabe</t>
  </si>
  <si>
    <t>DeliveryAtWorkService</t>
  </si>
  <si>
    <t>Zustellung an Arbeitsplatz</t>
  </si>
  <si>
    <t>WeighingService</t>
  </si>
  <si>
    <t>Gewichtsprüfung</t>
  </si>
  <si>
    <t>HazardousGoodsService</t>
  </si>
  <si>
    <t>Gefahrgutversand</t>
  </si>
  <si>
    <t>PharmaService</t>
  </si>
  <si>
    <t>Arzneimitteltransport</t>
  </si>
  <si>
    <t>Warenart</t>
  </si>
  <si>
    <t>DHL erlaubt</t>
  </si>
  <si>
    <t>Spezialregel</t>
  </si>
  <si>
    <t>Chatbot-Aktion</t>
  </si>
  <si>
    <t>Kleidung</t>
  </si>
  <si>
    <t>Optional</t>
  </si>
  <si>
    <t>Standardware</t>
  </si>
  <si>
    <t>Standardversand</t>
  </si>
  <si>
    <t>Bücher</t>
  </si>
  <si>
    <t>Warensendung möglich</t>
  </si>
  <si>
    <t>Günstigste Option prüfen</t>
  </si>
  <si>
    <t>Dokumente</t>
  </si>
  <si>
    <t>Brief oder Paket möglich</t>
  </si>
  <si>
    <t>Brief/Paket prüfen</t>
  </si>
  <si>
    <t>Elektronik</t>
  </si>
  <si>
    <t>Empfohlen</t>
  </si>
  <si>
    <t>Hoher Warenwert möglich</t>
  </si>
  <si>
    <t>Versicherung empfehlen</t>
  </si>
  <si>
    <t>Smartphone</t>
  </si>
  <si>
    <t>Valoren Klasse I</t>
  </si>
  <si>
    <t>Zusatzversicherung prüfen</t>
  </si>
  <si>
    <t>Laptop</t>
  </si>
  <si>
    <t>Tablet</t>
  </si>
  <si>
    <t>Computer</t>
  </si>
  <si>
    <t>Kamera</t>
  </si>
  <si>
    <t>Ersatzteile</t>
  </si>
  <si>
    <t>Gewicht und Wert prüfen</t>
  </si>
  <si>
    <t>Industrieteile</t>
  </si>
  <si>
    <t>Bei hohem Wert versichern</t>
  </si>
  <si>
    <t>Schmuck</t>
  </si>
  <si>
    <t>Eingeschränkt</t>
  </si>
  <si>
    <t>Max. 500 €</t>
  </si>
  <si>
    <t>Valoren Klasse II</t>
  </si>
  <si>
    <t>Bei Wert über 500 € ablehnen</t>
  </si>
  <si>
    <t>Uhren</t>
  </si>
  <si>
    <t>Edelsteine</t>
  </si>
  <si>
    <t>Bargeld</t>
  </si>
  <si>
    <t>Übertragbare Gutscheine</t>
  </si>
  <si>
    <t>Antiquitäten</t>
  </si>
  <si>
    <t>Batterien</t>
  </si>
  <si>
    <t>Teilweise</t>
  </si>
  <si>
    <t>Prüfung notwendig</t>
  </si>
  <si>
    <t>Gefahrgutregel prüfen</t>
  </si>
  <si>
    <t>Sonderprüfung</t>
  </si>
  <si>
    <t>Parfüm</t>
  </si>
  <si>
    <t>entzündbar möglich</t>
  </si>
  <si>
    <t>Nagellack</t>
  </si>
  <si>
    <t>Teilweise/Nein</t>
  </si>
  <si>
    <t>Keine Standardregel</t>
  </si>
  <si>
    <t>Gefahrgut möglich</t>
  </si>
  <si>
    <t>Spraydosen</t>
  </si>
  <si>
    <t>Chemikalien</t>
  </si>
  <si>
    <t>Nein/Prüfung</t>
  </si>
  <si>
    <t>Keine Haftung</t>
  </si>
  <si>
    <t>Gefahrgut</t>
  </si>
  <si>
    <t>DHL ablehnen oder Sonderprüfung</t>
  </si>
  <si>
    <t>Waffen</t>
  </si>
  <si>
    <t>Verboten</t>
  </si>
  <si>
    <t>Munition</t>
  </si>
  <si>
    <t>Tiere</t>
  </si>
  <si>
    <t>Illegale Waren</t>
  </si>
  <si>
    <t>DPD erlaubt</t>
  </si>
  <si>
    <t>Normalversand</t>
  </si>
  <si>
    <t>Günstigste Option wählen</t>
  </si>
  <si>
    <t>Hoher Warenwert</t>
  </si>
  <si>
    <t>Prüfung</t>
  </si>
  <si>
    <t>Wert prüfen</t>
  </si>
  <si>
    <t>Nicht erlaubt</t>
  </si>
  <si>
    <t>Ausschluss</t>
  </si>
  <si>
    <t>Sendung ablehnen</t>
  </si>
  <si>
    <t>Gefahrgutregel</t>
  </si>
  <si>
    <t>GLS erlaubt</t>
  </si>
  <si>
    <t>Sonderregel</t>
  </si>
  <si>
    <t>Versicherung empfohlen</t>
  </si>
  <si>
    <t>Medikamente</t>
  </si>
  <si>
    <t>PharmaService erforderlich</t>
  </si>
  <si>
    <t>Nur zugelassene Gefahrgutklassen</t>
  </si>
  <si>
    <t>Lebende Tiere</t>
  </si>
  <si>
    <t>Blutkonserven</t>
  </si>
  <si>
    <t>Organe</t>
  </si>
  <si>
    <t>Wertpapiere</t>
  </si>
  <si>
    <t>Schmuck &gt; 750 €</t>
  </si>
  <si>
    <t>Uhren &gt; 750 €</t>
  </si>
  <si>
    <t>Edelsteine &gt; 750 €</t>
  </si>
  <si>
    <t>Antiquitäten &gt; 750 €</t>
  </si>
  <si>
    <t>Tabakwaren (international)</t>
  </si>
  <si>
    <t>Spirituosen (international)</t>
  </si>
  <si>
    <t>Batterien zur Entsorgung</t>
  </si>
  <si>
    <t>Elektroschrott</t>
  </si>
  <si>
    <t xml:space="preserve">Regel </t>
  </si>
  <si>
    <t>Aktion</t>
  </si>
  <si>
    <t>R1</t>
  </si>
  <si>
    <t>Gewicht &lt;= 2 kg und Warenwert &lt;= 500 €</t>
  </si>
  <si>
    <t>Päckchen oder Paket prüfen</t>
  </si>
  <si>
    <t>R2</t>
  </si>
  <si>
    <t>Warenwert &lt;= 500 €</t>
  </si>
  <si>
    <t>R3</t>
  </si>
  <si>
    <t>Warenwert &gt; 500 € und &lt;= 2.500 €</t>
  </si>
  <si>
    <t>Versicherung bis 2.500 € empfehlen</t>
  </si>
  <si>
    <t>R4</t>
  </si>
  <si>
    <t>Warenwert &gt; 2.500 € und &lt;= 25.000 €</t>
  </si>
  <si>
    <t>Versicherung bis 25.000 € empfehlen</t>
  </si>
  <si>
    <t>R5</t>
  </si>
  <si>
    <t>Warenwert &gt; 25.000 €</t>
  </si>
  <si>
    <t>R6</t>
  </si>
  <si>
    <t>Warenart = Schmuck und Wert &gt; 500 €</t>
  </si>
  <si>
    <t>R7</t>
  </si>
  <si>
    <t>Warenart = Uhr und Wert &gt; 500 €</t>
  </si>
  <si>
    <t>R8</t>
  </si>
  <si>
    <t>Warenart = Bargeld und Wert &gt; 500 €</t>
  </si>
  <si>
    <t>R9</t>
  </si>
  <si>
    <t>Warenart = Gefahrgut</t>
  </si>
  <si>
    <t>R10</t>
  </si>
  <si>
    <t>Gewicht &gt; 31,5 kg</t>
  </si>
  <si>
    <t>DHL Paket ablehnen</t>
  </si>
  <si>
    <t>R11</t>
  </si>
  <si>
    <t>Maße &gt; 120×60×60 cm</t>
  </si>
  <si>
    <t>Sperrgut prüfen</t>
  </si>
  <si>
    <t>R12</t>
  </si>
  <si>
    <t>Sperrgut = Ja</t>
  </si>
  <si>
    <t>Sperrgutzuschlag addieren</t>
  </si>
  <si>
    <t>R13</t>
  </si>
  <si>
    <t>Zusatzversicherung = Ja</t>
  </si>
  <si>
    <t>Nur Filiale/Paketshop mit Einlieferungsbeleg</t>
  </si>
  <si>
    <t>R14</t>
  </si>
  <si>
    <t>Päckchen gewählt</t>
  </si>
  <si>
    <t>Keine Haftung und keine Sendungsverfolgung</t>
  </si>
  <si>
    <t>R15</t>
  </si>
  <si>
    <t>Paket gewählt</t>
  </si>
  <si>
    <t>Sendungsverfolgung und Haftung bis 500 € aktiv</t>
  </si>
  <si>
    <t xml:space="preserve">DPD </t>
  </si>
  <si>
    <t>Gewicht &lt;= 20 kg</t>
  </si>
  <si>
    <t>XS bis L prüfen</t>
  </si>
  <si>
    <t>Gewicht &gt; 20 kg und &lt;= 31,5 kg</t>
  </si>
  <si>
    <t>XL prüfen</t>
  </si>
  <si>
    <t>DPD ablehnen</t>
  </si>
  <si>
    <t>Länge &gt; 175 cm</t>
  </si>
  <si>
    <t>Gurtmaß &gt; 300 cm</t>
  </si>
  <si>
    <t>Warenwert &gt; 520 €</t>
  </si>
  <si>
    <t>Höherversicherung empfehlen</t>
  </si>
  <si>
    <t>Express erforderlich</t>
  </si>
  <si>
    <t>DPD EXPRESS anbieten</t>
  </si>
  <si>
    <t>Zustellung vor 12 Uhr</t>
  </si>
  <si>
    <t>DPD 12:00 anbieten</t>
  </si>
  <si>
    <t>Samstagszustellung erforderlich</t>
  </si>
  <si>
    <t>DPD Samstag anbieten</t>
  </si>
  <si>
    <t>Inselversand</t>
  </si>
  <si>
    <t>Inselzuschlag berechnen</t>
  </si>
  <si>
    <t>Bargeld oder verbotene Ware</t>
  </si>
  <si>
    <t>GLS-R1</t>
  </si>
  <si>
    <t>Gewicht &lt;= 40 kg</t>
  </si>
  <si>
    <t>GLS Standardversand möglich</t>
  </si>
  <si>
    <t>GLS-R2</t>
  </si>
  <si>
    <t>Gewicht &gt; 40 kg</t>
  </si>
  <si>
    <t>GLS ablehnen</t>
  </si>
  <si>
    <t>GLS-R3</t>
  </si>
  <si>
    <t>Länge &gt; 2,0 m</t>
  </si>
  <si>
    <t>GLS-R4</t>
  </si>
  <si>
    <t>Breite &gt; 0,8 m</t>
  </si>
  <si>
    <t>GLS-R5</t>
  </si>
  <si>
    <t>Höhe &gt; 0,6 m</t>
  </si>
  <si>
    <t>GLS-R6</t>
  </si>
  <si>
    <t>Gurtmaß &gt; 3,0 m</t>
  </si>
  <si>
    <t>GLS-R7</t>
  </si>
  <si>
    <t>GLS-R8</t>
  </si>
  <si>
    <t>Warenwert &gt; 25000 € pro Tag an selben Empfänger</t>
  </si>
  <si>
    <t>GLS-R9</t>
  </si>
  <si>
    <t>Express benötigt</t>
  </si>
  <si>
    <t>ExpressParcel anbieten</t>
  </si>
  <si>
    <t>GLS-R10</t>
  </si>
  <si>
    <t>TimeDefiniteService anbieten</t>
  </si>
  <si>
    <t>GLS-R11</t>
  </si>
  <si>
    <t>SaturdayService anbieten</t>
  </si>
  <si>
    <t>GLS-R12</t>
  </si>
  <si>
    <t>PaketShop gewünscht</t>
  </si>
  <si>
    <t>ShopDeliveryService anbieten</t>
  </si>
  <si>
    <t>GLS-R13</t>
  </si>
  <si>
    <t>Retoure gewünscht</t>
  </si>
  <si>
    <t>ShopReturnService anbieten</t>
  </si>
  <si>
    <t>GLS-R14</t>
  </si>
  <si>
    <t>PharmaService prüfen</t>
  </si>
  <si>
    <t>GLS-R15</t>
  </si>
  <si>
    <t>HazardousGoodsService prüfen</t>
  </si>
  <si>
    <t>GLS-R16</t>
  </si>
  <si>
    <t>Verbotene Ware</t>
  </si>
  <si>
    <t>Testfall</t>
  </si>
  <si>
    <t>Gewicht</t>
  </si>
  <si>
    <t>Länge</t>
  </si>
  <si>
    <t>Breite</t>
  </si>
  <si>
    <t>Höhe</t>
  </si>
  <si>
    <t>Zielland</t>
  </si>
  <si>
    <t>Carrier Erwartet</t>
  </si>
  <si>
    <t>Erwartetes Ergebnis</t>
  </si>
  <si>
    <t>Buch</t>
  </si>
  <si>
    <t>25 cm</t>
  </si>
  <si>
    <t>20 cm</t>
  </si>
  <si>
    <t>3 cm</t>
  </si>
  <si>
    <t>Deutschland</t>
  </si>
  <si>
    <t>Warensendung empfohlen, keine Versicherung</t>
  </si>
  <si>
    <t>4 kg</t>
  </si>
  <si>
    <t>40 cm</t>
  </si>
  <si>
    <t>30 cm</t>
  </si>
  <si>
    <t>10 cm</t>
  </si>
  <si>
    <t>Paket 5 kg + Versicherung bis 2500 €</t>
  </si>
  <si>
    <t>8 kg</t>
  </si>
  <si>
    <t>50 cm</t>
  </si>
  <si>
    <t>DPD Classic M ohne Zusatzversicherung</t>
  </si>
  <si>
    <t>Keine</t>
  </si>
  <si>
    <t>DHL/DPD ablehnen wegen Schmuck über Wertgrenze</t>
  </si>
  <si>
    <t>Ersatzteil</t>
  </si>
  <si>
    <t>25 kg</t>
  </si>
  <si>
    <t>100 cm</t>
  </si>
  <si>
    <t>Frankreich</t>
  </si>
  <si>
    <t>GLS EuroBusinessParcel + Zusatzversicherung empfehlen</t>
  </si>
  <si>
    <t>OTD-Quote %</t>
  </si>
  <si>
    <t>Schadensquote %</t>
  </si>
  <si>
    <t>Empfängerbenachrichtigung</t>
  </si>
  <si>
    <t>Zustellflexibilität</t>
  </si>
  <si>
    <t>Handling-Programm</t>
  </si>
  <si>
    <t>Paketshop/Packstation/Umleitung</t>
  </si>
  <si>
    <t>Standard-Handling</t>
  </si>
  <si>
    <t>Paketshop/Abstellort/Umleitung</t>
  </si>
  <si>
    <t>Paketshop/Abstellgenehmigung</t>
  </si>
  <si>
    <t>EVA Scoring-Gewichtung nach MAUT / gewichteter Nutzwertanalyse</t>
  </si>
  <si>
    <t>Hauptkriterium</t>
  </si>
  <si>
    <t>Hauptgewicht</t>
  </si>
  <si>
    <t>Subkriterium</t>
  </si>
  <si>
    <t>Subgewicht im Word</t>
  </si>
  <si>
    <t>Normalisiertes Teilgewicht</t>
  </si>
  <si>
    <t>Benötigte Excel-Spalte</t>
  </si>
  <si>
    <t>Score-Logik</t>
  </si>
  <si>
    <t>Hinweis</t>
  </si>
  <si>
    <t>Transportkosten</t>
  </si>
  <si>
    <t>(max_preis - preis)/(max_preis-min_preis)*100</t>
  </si>
  <si>
    <t>Preis niedriger = besser</t>
  </si>
  <si>
    <t>Versicherungseffizienz</t>
  </si>
  <si>
    <t>Haftung, Warenwert, Versicherung</t>
  </si>
  <si>
    <t>Standardhaftung deckt Warenwert = 100; Teildeckung proportional</t>
  </si>
  <si>
    <t>TCO-/Versicherungseffekt</t>
  </si>
  <si>
    <t>Liefergeschwindigkeit</t>
  </si>
  <si>
    <t>Durchschnittliche Laufzeit</t>
  </si>
  <si>
    <t>U(t)=(7-t)/(7-1)*100</t>
  </si>
  <si>
    <t>1 Tag = 100, 7 Tage = 0</t>
  </si>
  <si>
    <t>Lieferzuverlässigkeit / OTD</t>
  </si>
  <si>
    <t>&gt;=97%=100; 90-96=75; 80-89=50; sonst 0</t>
  </si>
  <si>
    <t>Neu ergänzt</t>
  </si>
  <si>
    <t>Servicequalität</t>
  </si>
  <si>
    <t>Tracking &amp; Transparenz</t>
  </si>
  <si>
    <t>Ja=100, Nein=0; Gate bei Warenwert &gt;200</t>
  </si>
  <si>
    <t>Ausschlusskriterium</t>
  </si>
  <si>
    <t>Handling-Qualität</t>
  </si>
  <si>
    <t>&lt;0,1%=100; 0,1-0,5=75; 0,5-1=50; &gt;1=0</t>
  </si>
  <si>
    <t>Empfängerbenachrichtigung &amp; Flexibilität</t>
  </si>
  <si>
    <t>Empfängerbenachrichtigung, Zustellflexibilität</t>
  </si>
  <si>
    <t>beides vorhanden=100; teilweise=50; nichts=0</t>
  </si>
  <si>
    <t>Sicherheit &amp; Haftung</t>
  </si>
  <si>
    <t>Standardhaftungsdeckung</t>
  </si>
  <si>
    <t>Deckung/Warenwert, max. 100</t>
  </si>
  <si>
    <t>Haftung höher = besser</t>
  </si>
  <si>
    <t>Warenart-Eignung</t>
  </si>
  <si>
    <t>DHL/DPD/GLS erlaubt, Handling-Programm</t>
  </si>
  <si>
    <t>nicht erlaubt = Eliminierung; Spezial=100; Standard=50</t>
  </si>
  <si>
    <t>Sonderregeln erweitert</t>
  </si>
  <si>
    <t>Internationale Versandfähigkeit</t>
  </si>
  <si>
    <t>Ja=100; Nein=50 national; international+Nein = Eliminierung</t>
  </si>
  <si>
    <t>International-Gate</t>
  </si>
  <si>
    <t>Kontrolle Summe Normalisierte Teilgewichte</t>
  </si>
  <si>
    <t>Sollwert</t>
  </si>
  <si>
    <t>Istwert</t>
  </si>
  <si>
    <t>Sensitivitätsanalyse – Gewichtungsszenarien</t>
  </si>
  <si>
    <t>Szenario</t>
  </si>
  <si>
    <t>Preis</t>
  </si>
  <si>
    <t>Sicherheit</t>
  </si>
  <si>
    <t>Ausland</t>
  </si>
  <si>
    <t>Interpretation</t>
  </si>
  <si>
    <t>Basisfall (literaturbasiert / empfohlen)</t>
  </si>
  <si>
    <t>Ausgewogen; Grundlage für die neue EVA-App</t>
  </si>
  <si>
    <t>Preisorientiert</t>
  </si>
  <si>
    <t>Für kostenorientierte B2B-Hochvolumen-Sendungen</t>
  </si>
  <si>
    <t>Expressversand</t>
  </si>
  <si>
    <t>Für zeitkritische Sendungen</t>
  </si>
  <si>
    <t>Hochwertige Waren</t>
  </si>
  <si>
    <t>Für Elektronik, Schmuck oder Warenwert &gt; 1.000 €</t>
  </si>
  <si>
    <t>Internationaler B2B-Versand</t>
  </si>
  <si>
    <t>Für grenzüberschreitende Sendungen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</si>
</sst>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1F4E78"/>
      <name val="Carlito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/>
    <xf numFmtId="9" fontId="0" fillId="0" borderId="0" xfId="0" applyNumberFormat="1"/>
    <xf numFmtId="10" fontId="0" fillId="0" borderId="0" xfId="0" applyNumberFormat="1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K1" sqref="K1:O28"/>
    </sheetView>
  </sheetViews>
  <sheetFormatPr defaultRowHeight="13.8"/>
  <cols>
    <col min="1" max="1" width="5.69921875" customWidth="1"/>
    <col min="2" max="2" width="8.8984375" customWidth="1"/>
    <col min="3" max="3" width="11" customWidth="1"/>
    <col min="4" max="4" width="16.5" customWidth="1"/>
    <col min="5" max="5" width="9" customWidth="1"/>
    <col min="6" max="6" width="6.8984375" customWidth="1"/>
    <col min="7" max="7" width="6.59765625" customWidth="1"/>
    <col min="8" max="8" width="6.5" customWidth="1"/>
    <col min="9" max="9" width="11.19921875" customWidth="1"/>
    <col min="10" max="10" width="13.3984375" customWidth="1"/>
    <col min="11" max="15" width="22" customWidth="1"/>
  </cols>
  <sheetData>
    <row r="1" spans="1:15" ht="27.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432</v>
      </c>
      <c r="L1" s="12" t="s">
        <v>433</v>
      </c>
      <c r="M1" s="12" t="s">
        <v>434</v>
      </c>
      <c r="N1" s="12" t="s">
        <v>435</v>
      </c>
      <c r="O1" s="12" t="s">
        <v>436</v>
      </c>
    </row>
    <row r="2" spans="1: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15</v>
      </c>
      <c r="K2">
        <v>96</v>
      </c>
      <c r="L2">
        <v>0.3</v>
      </c>
      <c r="M2" t="s">
        <v>23</v>
      </c>
      <c r="N2" t="s">
        <v>437</v>
      </c>
      <c r="O2" t="s">
        <v>438</v>
      </c>
    </row>
    <row r="3" spans="1:15">
      <c r="A3" t="s">
        <v>10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 t="s">
        <v>15</v>
      </c>
      <c r="H3" t="s">
        <v>22</v>
      </c>
      <c r="I3" t="s">
        <v>17</v>
      </c>
      <c r="J3" t="s">
        <v>23</v>
      </c>
      <c r="K3">
        <v>96</v>
      </c>
      <c r="L3">
        <v>0.3</v>
      </c>
      <c r="M3" t="s">
        <v>23</v>
      </c>
      <c r="N3" t="s">
        <v>437</v>
      </c>
      <c r="O3" t="s">
        <v>438</v>
      </c>
    </row>
    <row r="4" spans="1:15">
      <c r="A4" t="s">
        <v>10</v>
      </c>
      <c r="B4" t="s">
        <v>24</v>
      </c>
      <c r="C4" t="s">
        <v>19</v>
      </c>
      <c r="D4" t="s">
        <v>25</v>
      </c>
      <c r="E4" t="s">
        <v>26</v>
      </c>
      <c r="F4" t="s">
        <v>15</v>
      </c>
      <c r="G4" t="s">
        <v>15</v>
      </c>
      <c r="H4" t="s">
        <v>22</v>
      </c>
      <c r="I4" t="s">
        <v>17</v>
      </c>
      <c r="J4" t="s">
        <v>23</v>
      </c>
      <c r="K4">
        <v>96</v>
      </c>
      <c r="L4">
        <v>0.3</v>
      </c>
      <c r="M4" t="s">
        <v>23</v>
      </c>
      <c r="N4" t="s">
        <v>437</v>
      </c>
      <c r="O4" t="s">
        <v>438</v>
      </c>
    </row>
    <row r="5" spans="1:15">
      <c r="A5" t="s">
        <v>10</v>
      </c>
      <c r="B5" t="s">
        <v>27</v>
      </c>
      <c r="C5" t="s">
        <v>19</v>
      </c>
      <c r="D5" t="s">
        <v>25</v>
      </c>
      <c r="E5" t="s">
        <v>28</v>
      </c>
      <c r="F5" t="s">
        <v>23</v>
      </c>
      <c r="G5" t="s">
        <v>29</v>
      </c>
      <c r="H5" t="s">
        <v>22</v>
      </c>
      <c r="I5" t="s">
        <v>17</v>
      </c>
      <c r="J5" t="s">
        <v>23</v>
      </c>
      <c r="K5">
        <v>96</v>
      </c>
      <c r="L5">
        <v>0.3</v>
      </c>
      <c r="M5" t="s">
        <v>23</v>
      </c>
      <c r="N5" t="s">
        <v>437</v>
      </c>
      <c r="O5" t="s">
        <v>438</v>
      </c>
    </row>
    <row r="6" spans="1:15">
      <c r="A6" t="s">
        <v>10</v>
      </c>
      <c r="B6" t="s">
        <v>30</v>
      </c>
      <c r="C6" t="s">
        <v>31</v>
      </c>
      <c r="D6" t="s">
        <v>32</v>
      </c>
      <c r="E6" t="s">
        <v>33</v>
      </c>
      <c r="F6" t="s">
        <v>23</v>
      </c>
      <c r="G6" t="s">
        <v>29</v>
      </c>
      <c r="H6" t="s">
        <v>22</v>
      </c>
      <c r="I6" t="s">
        <v>17</v>
      </c>
      <c r="J6" t="s">
        <v>23</v>
      </c>
      <c r="K6">
        <v>96</v>
      </c>
      <c r="L6">
        <v>0.3</v>
      </c>
      <c r="M6" t="s">
        <v>23</v>
      </c>
      <c r="N6" t="s">
        <v>437</v>
      </c>
      <c r="O6" t="s">
        <v>438</v>
      </c>
    </row>
    <row r="7" spans="1:15">
      <c r="A7" t="s">
        <v>10</v>
      </c>
      <c r="B7" t="s">
        <v>34</v>
      </c>
      <c r="C7" t="s">
        <v>35</v>
      </c>
      <c r="D7" t="s">
        <v>32</v>
      </c>
      <c r="E7" t="s">
        <v>36</v>
      </c>
      <c r="F7" t="s">
        <v>23</v>
      </c>
      <c r="G7" t="s">
        <v>29</v>
      </c>
      <c r="H7" t="s">
        <v>22</v>
      </c>
      <c r="I7" t="s">
        <v>17</v>
      </c>
      <c r="J7" t="s">
        <v>23</v>
      </c>
      <c r="K7">
        <v>96</v>
      </c>
      <c r="L7">
        <v>0.3</v>
      </c>
      <c r="M7" t="s">
        <v>23</v>
      </c>
      <c r="N7" t="s">
        <v>437</v>
      </c>
      <c r="O7" t="s">
        <v>438</v>
      </c>
    </row>
    <row r="8" spans="1:15">
      <c r="A8" t="s">
        <v>10</v>
      </c>
      <c r="B8" t="s">
        <v>37</v>
      </c>
      <c r="C8" t="s">
        <v>38</v>
      </c>
      <c r="D8" t="s">
        <v>32</v>
      </c>
      <c r="E8" t="s">
        <v>39</v>
      </c>
      <c r="F8" t="s">
        <v>23</v>
      </c>
      <c r="G8" t="s">
        <v>29</v>
      </c>
      <c r="H8" t="s">
        <v>22</v>
      </c>
      <c r="I8" t="s">
        <v>17</v>
      </c>
      <c r="J8" t="s">
        <v>23</v>
      </c>
      <c r="K8">
        <v>96</v>
      </c>
      <c r="L8">
        <v>0.3</v>
      </c>
      <c r="M8" t="s">
        <v>23</v>
      </c>
      <c r="N8" t="s">
        <v>437</v>
      </c>
      <c r="O8" t="s">
        <v>438</v>
      </c>
    </row>
    <row r="9" spans="1:15">
      <c r="A9" t="s">
        <v>10</v>
      </c>
      <c r="B9" t="s">
        <v>40</v>
      </c>
      <c r="C9" t="s">
        <v>41</v>
      </c>
      <c r="D9" t="s">
        <v>32</v>
      </c>
      <c r="E9" t="s">
        <v>42</v>
      </c>
      <c r="F9" t="s">
        <v>23</v>
      </c>
      <c r="G9" t="s">
        <v>29</v>
      </c>
      <c r="H9" t="s">
        <v>22</v>
      </c>
      <c r="I9" t="s">
        <v>17</v>
      </c>
      <c r="J9" t="s">
        <v>23</v>
      </c>
      <c r="K9">
        <v>96</v>
      </c>
      <c r="L9">
        <v>0.3</v>
      </c>
      <c r="M9" t="s">
        <v>23</v>
      </c>
      <c r="N9" t="s">
        <v>437</v>
      </c>
      <c r="O9" t="s">
        <v>438</v>
      </c>
    </row>
    <row r="10" spans="1:15">
      <c r="A10" t="s">
        <v>43</v>
      </c>
      <c r="B10" t="s">
        <v>44</v>
      </c>
      <c r="C10" t="s">
        <v>38</v>
      </c>
      <c r="D10" t="s">
        <v>45</v>
      </c>
      <c r="E10" t="s">
        <v>46</v>
      </c>
      <c r="F10" t="s">
        <v>23</v>
      </c>
      <c r="G10" t="s">
        <v>47</v>
      </c>
      <c r="H10" t="s">
        <v>22</v>
      </c>
      <c r="I10" t="s">
        <v>17</v>
      </c>
      <c r="J10" t="s">
        <v>23</v>
      </c>
      <c r="K10">
        <v>94</v>
      </c>
      <c r="L10">
        <v>0.4</v>
      </c>
      <c r="M10" t="s">
        <v>23</v>
      </c>
      <c r="N10" t="s">
        <v>439</v>
      </c>
      <c r="O10" t="s">
        <v>438</v>
      </c>
    </row>
    <row r="11" spans="1:15">
      <c r="A11" t="s">
        <v>43</v>
      </c>
      <c r="B11" t="s">
        <v>48</v>
      </c>
      <c r="C11" t="s">
        <v>38</v>
      </c>
      <c r="D11" t="s">
        <v>49</v>
      </c>
      <c r="E11" t="s">
        <v>50</v>
      </c>
      <c r="F11" t="s">
        <v>23</v>
      </c>
      <c r="G11" t="s">
        <v>47</v>
      </c>
      <c r="H11" t="s">
        <v>22</v>
      </c>
      <c r="I11" t="s">
        <v>17</v>
      </c>
      <c r="J11" t="s">
        <v>23</v>
      </c>
      <c r="K11">
        <v>94</v>
      </c>
      <c r="L11">
        <v>0.4</v>
      </c>
      <c r="M11" t="s">
        <v>23</v>
      </c>
      <c r="N11" t="s">
        <v>439</v>
      </c>
      <c r="O11" t="s">
        <v>438</v>
      </c>
    </row>
    <row r="12" spans="1:15">
      <c r="A12" t="s">
        <v>43</v>
      </c>
      <c r="B12" t="s">
        <v>51</v>
      </c>
      <c r="C12" t="s">
        <v>38</v>
      </c>
      <c r="D12" t="s">
        <v>52</v>
      </c>
      <c r="E12" t="s">
        <v>53</v>
      </c>
      <c r="F12" t="s">
        <v>23</v>
      </c>
      <c r="G12" t="s">
        <v>47</v>
      </c>
      <c r="H12" t="s">
        <v>22</v>
      </c>
      <c r="I12" t="s">
        <v>17</v>
      </c>
      <c r="J12" t="s">
        <v>23</v>
      </c>
      <c r="K12">
        <v>94</v>
      </c>
      <c r="L12">
        <v>0.4</v>
      </c>
      <c r="M12" t="s">
        <v>23</v>
      </c>
      <c r="N12" t="s">
        <v>439</v>
      </c>
      <c r="O12" t="s">
        <v>438</v>
      </c>
    </row>
    <row r="13" spans="1:15">
      <c r="A13" t="s">
        <v>43</v>
      </c>
      <c r="B13" t="s">
        <v>54</v>
      </c>
      <c r="C13" t="s">
        <v>38</v>
      </c>
      <c r="D13" t="s">
        <v>55</v>
      </c>
      <c r="E13" t="s">
        <v>56</v>
      </c>
      <c r="F13" t="s">
        <v>23</v>
      </c>
      <c r="G13" t="s">
        <v>47</v>
      </c>
      <c r="H13" t="s">
        <v>22</v>
      </c>
      <c r="I13" t="s">
        <v>17</v>
      </c>
      <c r="J13" t="s">
        <v>23</v>
      </c>
      <c r="K13">
        <v>94</v>
      </c>
      <c r="L13">
        <v>0.4</v>
      </c>
      <c r="M13" t="s">
        <v>23</v>
      </c>
      <c r="N13" t="s">
        <v>439</v>
      </c>
      <c r="O13" t="s">
        <v>438</v>
      </c>
    </row>
    <row r="14" spans="1:15">
      <c r="A14" t="s">
        <v>43</v>
      </c>
      <c r="B14" t="s">
        <v>57</v>
      </c>
      <c r="C14" t="s">
        <v>38</v>
      </c>
      <c r="D14" t="s">
        <v>45</v>
      </c>
      <c r="E14" t="s">
        <v>58</v>
      </c>
      <c r="F14" t="s">
        <v>23</v>
      </c>
      <c r="G14" t="s">
        <v>47</v>
      </c>
      <c r="H14" t="s">
        <v>22</v>
      </c>
      <c r="I14" t="s">
        <v>17</v>
      </c>
      <c r="J14" t="s">
        <v>23</v>
      </c>
      <c r="K14">
        <v>94</v>
      </c>
      <c r="L14">
        <v>0.4</v>
      </c>
      <c r="M14" t="s">
        <v>23</v>
      </c>
      <c r="N14" t="s">
        <v>439</v>
      </c>
      <c r="O14" t="s">
        <v>438</v>
      </c>
    </row>
    <row r="15" spans="1:15">
      <c r="A15" t="s">
        <v>43</v>
      </c>
      <c r="B15" t="s">
        <v>59</v>
      </c>
      <c r="C15" t="s">
        <v>38</v>
      </c>
      <c r="D15" t="s">
        <v>49</v>
      </c>
      <c r="E15" t="s">
        <v>60</v>
      </c>
      <c r="F15" t="s">
        <v>23</v>
      </c>
      <c r="G15" t="s">
        <v>47</v>
      </c>
      <c r="H15" t="s">
        <v>22</v>
      </c>
      <c r="I15" t="s">
        <v>17</v>
      </c>
      <c r="J15" t="s">
        <v>23</v>
      </c>
      <c r="K15">
        <v>94</v>
      </c>
      <c r="L15">
        <v>0.4</v>
      </c>
      <c r="M15" t="s">
        <v>23</v>
      </c>
      <c r="N15" t="s">
        <v>439</v>
      </c>
      <c r="O15" t="s">
        <v>438</v>
      </c>
    </row>
    <row r="16" spans="1:15">
      <c r="A16" t="s">
        <v>43</v>
      </c>
      <c r="B16" t="s">
        <v>61</v>
      </c>
      <c r="C16" t="s">
        <v>38</v>
      </c>
      <c r="D16" t="s">
        <v>52</v>
      </c>
      <c r="E16" t="s">
        <v>62</v>
      </c>
      <c r="F16" t="s">
        <v>23</v>
      </c>
      <c r="G16" t="s">
        <v>47</v>
      </c>
      <c r="H16" t="s">
        <v>22</v>
      </c>
      <c r="I16" t="s">
        <v>17</v>
      </c>
      <c r="J16" t="s">
        <v>23</v>
      </c>
      <c r="K16">
        <v>94</v>
      </c>
      <c r="L16">
        <v>0.4</v>
      </c>
      <c r="M16" t="s">
        <v>23</v>
      </c>
      <c r="N16" t="s">
        <v>439</v>
      </c>
      <c r="O16" t="s">
        <v>438</v>
      </c>
    </row>
    <row r="17" spans="1:15">
      <c r="A17" t="s">
        <v>43</v>
      </c>
      <c r="B17" t="s">
        <v>63</v>
      </c>
      <c r="C17" t="s">
        <v>38</v>
      </c>
      <c r="D17" t="s">
        <v>55</v>
      </c>
      <c r="E17" t="s">
        <v>64</v>
      </c>
      <c r="F17" t="s">
        <v>23</v>
      </c>
      <c r="G17" t="s">
        <v>47</v>
      </c>
      <c r="H17" t="s">
        <v>22</v>
      </c>
      <c r="I17" t="s">
        <v>17</v>
      </c>
      <c r="J17" t="s">
        <v>23</v>
      </c>
      <c r="K17">
        <v>94</v>
      </c>
      <c r="L17">
        <v>0.4</v>
      </c>
      <c r="M17" t="s">
        <v>23</v>
      </c>
      <c r="N17" t="s">
        <v>439</v>
      </c>
      <c r="O17" t="s">
        <v>438</v>
      </c>
    </row>
    <row r="18" spans="1:15">
      <c r="A18" t="s">
        <v>43</v>
      </c>
      <c r="B18" t="s">
        <v>65</v>
      </c>
      <c r="C18" t="s">
        <v>41</v>
      </c>
      <c r="D18" t="s">
        <v>66</v>
      </c>
      <c r="E18" t="s">
        <v>67</v>
      </c>
      <c r="F18" t="s">
        <v>23</v>
      </c>
      <c r="G18" t="s">
        <v>47</v>
      </c>
      <c r="H18" t="s">
        <v>22</v>
      </c>
      <c r="I18" t="s">
        <v>17</v>
      </c>
      <c r="J18" t="s">
        <v>23</v>
      </c>
      <c r="K18">
        <v>94</v>
      </c>
      <c r="L18">
        <v>0.4</v>
      </c>
      <c r="M18" t="s">
        <v>23</v>
      </c>
      <c r="N18" t="s">
        <v>439</v>
      </c>
      <c r="O18" t="s">
        <v>438</v>
      </c>
    </row>
    <row r="19" spans="1:1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23</v>
      </c>
      <c r="G19" t="s">
        <v>73</v>
      </c>
      <c r="H19" t="s">
        <v>74</v>
      </c>
      <c r="I19" t="s">
        <v>17</v>
      </c>
      <c r="J19" t="s">
        <v>23</v>
      </c>
      <c r="K19">
        <v>93</v>
      </c>
      <c r="L19">
        <v>0.5</v>
      </c>
      <c r="M19" t="s">
        <v>23</v>
      </c>
      <c r="N19" t="s">
        <v>440</v>
      </c>
      <c r="O19" t="s">
        <v>438</v>
      </c>
    </row>
    <row r="20" spans="1:15">
      <c r="A20" t="s">
        <v>68</v>
      </c>
      <c r="B20" t="s">
        <v>75</v>
      </c>
      <c r="C20" t="s">
        <v>70</v>
      </c>
      <c r="D20" t="s">
        <v>76</v>
      </c>
      <c r="E20" t="s">
        <v>77</v>
      </c>
      <c r="F20" t="s">
        <v>23</v>
      </c>
      <c r="G20" t="s">
        <v>73</v>
      </c>
      <c r="H20" t="s">
        <v>74</v>
      </c>
      <c r="I20" t="s">
        <v>17</v>
      </c>
      <c r="J20" t="s">
        <v>23</v>
      </c>
      <c r="K20">
        <v>93</v>
      </c>
      <c r="L20">
        <v>0.5</v>
      </c>
      <c r="M20" t="s">
        <v>23</v>
      </c>
      <c r="N20" t="s">
        <v>440</v>
      </c>
      <c r="O20" t="s">
        <v>438</v>
      </c>
    </row>
    <row r="21" spans="1:15">
      <c r="A21" t="s">
        <v>68</v>
      </c>
      <c r="B21" t="s">
        <v>78</v>
      </c>
      <c r="C21" t="s">
        <v>70</v>
      </c>
      <c r="D21" t="s">
        <v>79</v>
      </c>
      <c r="E21" t="s">
        <v>80</v>
      </c>
      <c r="F21" t="s">
        <v>23</v>
      </c>
      <c r="G21" t="s">
        <v>73</v>
      </c>
      <c r="H21" t="s">
        <v>74</v>
      </c>
      <c r="I21" t="s">
        <v>17</v>
      </c>
      <c r="J21" t="s">
        <v>23</v>
      </c>
      <c r="K21">
        <v>93</v>
      </c>
      <c r="L21">
        <v>0.5</v>
      </c>
      <c r="M21" t="s">
        <v>23</v>
      </c>
      <c r="N21" t="s">
        <v>440</v>
      </c>
      <c r="O21" t="s">
        <v>438</v>
      </c>
    </row>
    <row r="22" spans="1:15">
      <c r="A22" t="s">
        <v>68</v>
      </c>
      <c r="B22" t="s">
        <v>81</v>
      </c>
      <c r="C22" t="s">
        <v>70</v>
      </c>
      <c r="D22" t="s">
        <v>82</v>
      </c>
      <c r="E22" t="s">
        <v>83</v>
      </c>
      <c r="F22" t="s">
        <v>23</v>
      </c>
      <c r="G22" t="s">
        <v>73</v>
      </c>
      <c r="H22" t="s">
        <v>74</v>
      </c>
      <c r="I22" t="s">
        <v>17</v>
      </c>
      <c r="J22" t="s">
        <v>23</v>
      </c>
      <c r="K22">
        <v>93</v>
      </c>
      <c r="L22">
        <v>0.5</v>
      </c>
      <c r="M22" t="s">
        <v>23</v>
      </c>
      <c r="N22" t="s">
        <v>440</v>
      </c>
      <c r="O22" t="s">
        <v>438</v>
      </c>
    </row>
    <row r="23" spans="1:15">
      <c r="A23" t="s">
        <v>68</v>
      </c>
      <c r="B23" t="s">
        <v>84</v>
      </c>
      <c r="C23" t="s">
        <v>70</v>
      </c>
      <c r="D23" t="s">
        <v>85</v>
      </c>
      <c r="E23" t="s">
        <v>42</v>
      </c>
      <c r="F23" t="s">
        <v>23</v>
      </c>
      <c r="G23" t="s">
        <v>73</v>
      </c>
      <c r="H23" t="s">
        <v>74</v>
      </c>
      <c r="I23" t="s">
        <v>17</v>
      </c>
      <c r="J23" t="s">
        <v>23</v>
      </c>
      <c r="K23">
        <v>93</v>
      </c>
      <c r="L23">
        <v>0.5</v>
      </c>
      <c r="M23" t="s">
        <v>23</v>
      </c>
      <c r="N23" t="s">
        <v>440</v>
      </c>
      <c r="O23" t="s">
        <v>438</v>
      </c>
    </row>
    <row r="24" spans="1:15">
      <c r="A24" t="s">
        <v>68</v>
      </c>
      <c r="B24" t="s">
        <v>86</v>
      </c>
      <c r="C24" t="s">
        <v>70</v>
      </c>
      <c r="D24" t="s">
        <v>71</v>
      </c>
      <c r="E24" t="s">
        <v>56</v>
      </c>
      <c r="F24" t="s">
        <v>23</v>
      </c>
      <c r="G24" t="s">
        <v>73</v>
      </c>
      <c r="H24" t="s">
        <v>87</v>
      </c>
      <c r="I24" t="s">
        <v>17</v>
      </c>
      <c r="J24" t="s">
        <v>23</v>
      </c>
      <c r="K24">
        <v>93</v>
      </c>
      <c r="L24">
        <v>0.5</v>
      </c>
      <c r="M24" t="s">
        <v>23</v>
      </c>
      <c r="N24" t="s">
        <v>440</v>
      </c>
      <c r="O24" t="s">
        <v>438</v>
      </c>
    </row>
    <row r="25" spans="1:15">
      <c r="A25" t="s">
        <v>68</v>
      </c>
      <c r="B25" t="s">
        <v>88</v>
      </c>
      <c r="C25" t="s">
        <v>70</v>
      </c>
      <c r="D25" t="s">
        <v>76</v>
      </c>
      <c r="E25" t="s">
        <v>89</v>
      </c>
      <c r="F25" t="s">
        <v>23</v>
      </c>
      <c r="G25" t="s">
        <v>73</v>
      </c>
      <c r="H25" t="s">
        <v>87</v>
      </c>
      <c r="I25" t="s">
        <v>17</v>
      </c>
      <c r="J25" t="s">
        <v>23</v>
      </c>
      <c r="K25">
        <v>93</v>
      </c>
      <c r="L25">
        <v>0.5</v>
      </c>
      <c r="M25" t="s">
        <v>23</v>
      </c>
      <c r="N25" t="s">
        <v>440</v>
      </c>
      <c r="O25" t="s">
        <v>438</v>
      </c>
    </row>
    <row r="26" spans="1:15">
      <c r="A26" t="s">
        <v>68</v>
      </c>
      <c r="B26" t="s">
        <v>90</v>
      </c>
      <c r="C26" t="s">
        <v>70</v>
      </c>
      <c r="D26" t="s">
        <v>79</v>
      </c>
      <c r="E26" t="s">
        <v>91</v>
      </c>
      <c r="F26" t="s">
        <v>23</v>
      </c>
      <c r="G26" t="s">
        <v>73</v>
      </c>
      <c r="H26" t="s">
        <v>87</v>
      </c>
      <c r="I26" t="s">
        <v>17</v>
      </c>
      <c r="J26" t="s">
        <v>23</v>
      </c>
      <c r="K26">
        <v>93</v>
      </c>
      <c r="L26">
        <v>0.5</v>
      </c>
      <c r="M26" t="s">
        <v>23</v>
      </c>
      <c r="N26" t="s">
        <v>440</v>
      </c>
      <c r="O26" t="s">
        <v>438</v>
      </c>
    </row>
    <row r="27" spans="1:15">
      <c r="A27" t="s">
        <v>68</v>
      </c>
      <c r="B27" t="s">
        <v>92</v>
      </c>
      <c r="C27" t="s">
        <v>70</v>
      </c>
      <c r="D27" t="s">
        <v>82</v>
      </c>
      <c r="E27" t="s">
        <v>93</v>
      </c>
      <c r="F27" t="s">
        <v>23</v>
      </c>
      <c r="G27" t="s">
        <v>73</v>
      </c>
      <c r="H27" t="s">
        <v>87</v>
      </c>
      <c r="I27" t="s">
        <v>17</v>
      </c>
      <c r="J27" t="s">
        <v>23</v>
      </c>
      <c r="K27">
        <v>93</v>
      </c>
      <c r="L27">
        <v>0.5</v>
      </c>
      <c r="M27" t="s">
        <v>23</v>
      </c>
      <c r="N27" t="s">
        <v>440</v>
      </c>
      <c r="O27" t="s">
        <v>438</v>
      </c>
    </row>
    <row r="28" spans="1:15">
      <c r="A28" t="s">
        <v>68</v>
      </c>
      <c r="B28" t="s">
        <v>94</v>
      </c>
      <c r="C28" t="s">
        <v>70</v>
      </c>
      <c r="D28" t="s">
        <v>85</v>
      </c>
      <c r="E28" t="s">
        <v>95</v>
      </c>
      <c r="F28" t="s">
        <v>23</v>
      </c>
      <c r="G28" t="s">
        <v>73</v>
      </c>
      <c r="H28" t="s">
        <v>87</v>
      </c>
      <c r="I28" t="s">
        <v>17</v>
      </c>
      <c r="J28" t="s">
        <v>23</v>
      </c>
      <c r="K28">
        <v>93</v>
      </c>
      <c r="L28">
        <v>0.5</v>
      </c>
      <c r="M28" t="s">
        <v>23</v>
      </c>
      <c r="N28" t="s">
        <v>440</v>
      </c>
      <c r="O28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3.8"/>
  <cols>
    <col min="1" max="1" width="10" customWidth="1"/>
    <col min="2" max="2" width="34" customWidth="1"/>
    <col min="3" max="3" width="29.796875" customWidth="1"/>
    <col min="4" max="4" width="8.796875" customWidth="1"/>
    <col min="5" max="5" width="42" customWidth="1"/>
  </cols>
  <sheetData>
    <row r="1" spans="1:5">
      <c r="A1" s="5" t="s">
        <v>96</v>
      </c>
      <c r="B1" s="5" t="s">
        <v>97</v>
      </c>
      <c r="C1" s="5" t="s">
        <v>98</v>
      </c>
      <c r="D1" s="5" t="s">
        <v>99</v>
      </c>
      <c r="E1" s="5" t="s">
        <v>100</v>
      </c>
    </row>
    <row r="2" spans="1:5">
      <c r="A2" s="3" t="s">
        <v>101</v>
      </c>
      <c r="B2" s="3" t="s">
        <v>102</v>
      </c>
      <c r="C2" s="3" t="s">
        <v>103</v>
      </c>
      <c r="D2" s="4">
        <v>0</v>
      </c>
      <c r="E2" s="3" t="s">
        <v>4</v>
      </c>
    </row>
    <row r="3" spans="1:5">
      <c r="A3" s="3" t="s">
        <v>104</v>
      </c>
      <c r="B3" s="3" t="s">
        <v>105</v>
      </c>
      <c r="C3" s="3" t="s">
        <v>106</v>
      </c>
      <c r="D3" s="3" t="s">
        <v>107</v>
      </c>
      <c r="E3" s="3" t="s">
        <v>108</v>
      </c>
    </row>
    <row r="4" spans="1:5">
      <c r="A4" s="3" t="s">
        <v>109</v>
      </c>
      <c r="B4" s="3" t="s">
        <v>110</v>
      </c>
      <c r="C4" s="3" t="s">
        <v>111</v>
      </c>
      <c r="D4" s="3" t="s">
        <v>112</v>
      </c>
      <c r="E4" s="3" t="s">
        <v>113</v>
      </c>
    </row>
    <row r="5" spans="1:5">
      <c r="A5" s="3" t="s">
        <v>114</v>
      </c>
      <c r="B5" s="3" t="s">
        <v>115</v>
      </c>
      <c r="C5" s="3" t="s">
        <v>116</v>
      </c>
      <c r="D5" s="3" t="s">
        <v>117</v>
      </c>
      <c r="E5" s="3" t="s">
        <v>118</v>
      </c>
    </row>
    <row r="6" spans="1:5">
      <c r="A6" s="3" t="s">
        <v>119</v>
      </c>
      <c r="B6" s="3" t="s">
        <v>120</v>
      </c>
      <c r="C6" s="3" t="s">
        <v>121</v>
      </c>
      <c r="D6" s="4">
        <v>0</v>
      </c>
      <c r="E6" s="3" t="s">
        <v>4</v>
      </c>
    </row>
    <row r="7" spans="1:5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</row>
    <row r="8" spans="1:5">
      <c r="A8" s="3" t="s">
        <v>127</v>
      </c>
      <c r="B8" s="3" t="s">
        <v>128</v>
      </c>
      <c r="C8" s="3" t="s">
        <v>129</v>
      </c>
      <c r="D8" s="3" t="s">
        <v>125</v>
      </c>
      <c r="E8" s="3" t="s">
        <v>126</v>
      </c>
    </row>
    <row r="9" spans="1:5">
      <c r="A9" s="3" t="s">
        <v>130</v>
      </c>
      <c r="B9" s="3" t="s">
        <v>131</v>
      </c>
      <c r="C9" s="3" t="s">
        <v>132</v>
      </c>
      <c r="D9" s="3" t="s">
        <v>117</v>
      </c>
      <c r="E9" s="3" t="s">
        <v>133</v>
      </c>
    </row>
    <row r="10" spans="1:5">
      <c r="A10" s="3" t="s">
        <v>134</v>
      </c>
      <c r="B10" s="3" t="s">
        <v>135</v>
      </c>
      <c r="C10" s="3" t="s">
        <v>136</v>
      </c>
      <c r="D10" s="4">
        <v>0</v>
      </c>
    </row>
    <row r="11" spans="1:5">
      <c r="A11" s="3" t="s">
        <v>137</v>
      </c>
      <c r="B11" s="3" t="s">
        <v>138</v>
      </c>
      <c r="C11" s="3" t="s">
        <v>139</v>
      </c>
      <c r="D11" s="3" t="s">
        <v>125</v>
      </c>
    </row>
    <row r="12" spans="1:5">
      <c r="A12" s="3" t="s">
        <v>140</v>
      </c>
      <c r="B12" s="3" t="s">
        <v>141</v>
      </c>
      <c r="C12" s="3" t="s">
        <v>142</v>
      </c>
      <c r="D12" s="3" t="s">
        <v>125</v>
      </c>
    </row>
    <row r="13" spans="1:5">
      <c r="A13" s="3" t="s">
        <v>143</v>
      </c>
      <c r="B13" s="3" t="s">
        <v>144</v>
      </c>
      <c r="C13" s="3" t="s">
        <v>145</v>
      </c>
      <c r="D13" s="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defaultRowHeight="13.8"/>
  <cols>
    <col min="1" max="1" width="29.796875" style="3" customWidth="1"/>
    <col min="2" max="2" width="40.19921875" style="3" customWidth="1"/>
    <col min="3" max="3" width="13.09765625" style="3" customWidth="1"/>
    <col min="4" max="4" width="8.796875" style="3"/>
  </cols>
  <sheetData>
    <row r="1" spans="1:3">
      <c r="A1" s="5" t="s">
        <v>146</v>
      </c>
      <c r="B1" s="5" t="s">
        <v>147</v>
      </c>
      <c r="C1" s="5" t="s">
        <v>99</v>
      </c>
    </row>
    <row r="2" spans="1:3">
      <c r="A2" s="5" t="s">
        <v>148</v>
      </c>
      <c r="B2" s="5"/>
      <c r="C2" s="5"/>
    </row>
    <row r="3" spans="1:3">
      <c r="A3" s="3" t="s">
        <v>149</v>
      </c>
      <c r="B3" s="3" t="s">
        <v>150</v>
      </c>
      <c r="C3" s="3" t="s">
        <v>151</v>
      </c>
    </row>
    <row r="4" spans="1:3">
      <c r="A4" s="3" t="s">
        <v>152</v>
      </c>
      <c r="B4" s="3" t="s">
        <v>150</v>
      </c>
      <c r="C4" s="3" t="s">
        <v>153</v>
      </c>
    </row>
    <row r="5" spans="1:3">
      <c r="A5" s="3" t="s">
        <v>154</v>
      </c>
      <c r="B5" s="3" t="s">
        <v>150</v>
      </c>
      <c r="C5" s="3" t="s">
        <v>155</v>
      </c>
    </row>
    <row r="6" spans="1:3">
      <c r="A6" s="3" t="s">
        <v>156</v>
      </c>
      <c r="B6" s="3" t="s">
        <v>157</v>
      </c>
      <c r="C6" s="3" t="s">
        <v>158</v>
      </c>
    </row>
    <row r="7" spans="1:3">
      <c r="A7" s="3" t="s">
        <v>159</v>
      </c>
      <c r="B7" s="3" t="s">
        <v>160</v>
      </c>
      <c r="C7" s="3" t="s">
        <v>161</v>
      </c>
    </row>
    <row r="8" spans="1:3">
      <c r="A8" s="3" t="s">
        <v>106</v>
      </c>
      <c r="B8" s="3" t="s">
        <v>162</v>
      </c>
      <c r="C8" s="3" t="s">
        <v>107</v>
      </c>
    </row>
    <row r="9" spans="1:3">
      <c r="A9" s="3" t="s">
        <v>111</v>
      </c>
      <c r="B9" s="3" t="s">
        <v>163</v>
      </c>
      <c r="C9" s="3" t="s">
        <v>112</v>
      </c>
    </row>
    <row r="10" spans="1:3">
      <c r="A10" s="5" t="s">
        <v>43</v>
      </c>
      <c r="B10" s="5"/>
      <c r="C10" s="5"/>
    </row>
    <row r="11" spans="1:3">
      <c r="A11" s="3" t="s">
        <v>164</v>
      </c>
      <c r="B11" s="3" t="s">
        <v>150</v>
      </c>
      <c r="C11" s="3" t="s">
        <v>165</v>
      </c>
    </row>
    <row r="12" spans="1:3">
      <c r="A12" s="3" t="s">
        <v>166</v>
      </c>
      <c r="B12" s="3" t="s">
        <v>167</v>
      </c>
      <c r="C12" s="3" t="s">
        <v>168</v>
      </c>
    </row>
    <row r="13" spans="1:3">
      <c r="A13" s="3" t="s">
        <v>169</v>
      </c>
      <c r="B13" s="3" t="s">
        <v>170</v>
      </c>
      <c r="C13" s="3" t="s">
        <v>171</v>
      </c>
    </row>
    <row r="14" spans="1:3">
      <c r="A14" s="3" t="s">
        <v>172</v>
      </c>
      <c r="B14" s="3" t="s">
        <v>173</v>
      </c>
      <c r="C14" s="3" t="s">
        <v>171</v>
      </c>
    </row>
    <row r="15" spans="1:3">
      <c r="A15" s="3" t="s">
        <v>174</v>
      </c>
      <c r="B15" s="3" t="s">
        <v>175</v>
      </c>
      <c r="C15" s="3" t="s">
        <v>176</v>
      </c>
    </row>
    <row r="16" spans="1:3">
      <c r="A16" s="3" t="s">
        <v>177</v>
      </c>
      <c r="B16" s="3" t="s">
        <v>178</v>
      </c>
      <c r="C16" s="3" t="s">
        <v>179</v>
      </c>
    </row>
    <row r="17" spans="1:3">
      <c r="A17" s="3" t="s">
        <v>180</v>
      </c>
      <c r="B17" s="3" t="s">
        <v>181</v>
      </c>
      <c r="C17" s="3" t="s">
        <v>179</v>
      </c>
    </row>
    <row r="18" spans="1:3">
      <c r="A18" s="3" t="s">
        <v>182</v>
      </c>
      <c r="B18" s="3" t="s">
        <v>183</v>
      </c>
      <c r="C18" s="3" t="s">
        <v>184</v>
      </c>
    </row>
    <row r="19" spans="1:3">
      <c r="A19" s="3" t="s">
        <v>185</v>
      </c>
      <c r="B19" s="3" t="s">
        <v>186</v>
      </c>
      <c r="C19" s="3" t="s">
        <v>184</v>
      </c>
    </row>
    <row r="20" spans="1:3">
      <c r="A20" s="5" t="s">
        <v>68</v>
      </c>
      <c r="B20" s="5"/>
      <c r="C20" s="5"/>
    </row>
    <row r="21" spans="1:3">
      <c r="A21" s="3" t="s">
        <v>146</v>
      </c>
      <c r="B21" s="3" t="s">
        <v>187</v>
      </c>
    </row>
    <row r="22" spans="1:3">
      <c r="A22" s="3" t="s">
        <v>188</v>
      </c>
      <c r="B22" s="3" t="s">
        <v>189</v>
      </c>
    </row>
    <row r="23" spans="1:3">
      <c r="A23" s="3" t="s">
        <v>190</v>
      </c>
      <c r="B23" s="3" t="s">
        <v>191</v>
      </c>
    </row>
    <row r="24" spans="1:3">
      <c r="A24" s="3" t="s">
        <v>192</v>
      </c>
      <c r="B24" s="3" t="s">
        <v>193</v>
      </c>
    </row>
    <row r="25" spans="1:3">
      <c r="A25" s="3" t="s">
        <v>194</v>
      </c>
      <c r="B25" s="3" t="s">
        <v>195</v>
      </c>
    </row>
    <row r="26" spans="1:3">
      <c r="A26" s="3" t="s">
        <v>196</v>
      </c>
      <c r="B26" s="3" t="s">
        <v>197</v>
      </c>
    </row>
    <row r="27" spans="1:3">
      <c r="A27" s="3" t="s">
        <v>198</v>
      </c>
      <c r="B27" s="3" t="s">
        <v>199</v>
      </c>
    </row>
    <row r="28" spans="1:3">
      <c r="A28" s="3" t="s">
        <v>200</v>
      </c>
      <c r="B28" s="3" t="s">
        <v>201</v>
      </c>
    </row>
    <row r="29" spans="1:3">
      <c r="A29" s="3" t="s">
        <v>202</v>
      </c>
      <c r="B29" s="3" t="s">
        <v>203</v>
      </c>
    </row>
    <row r="30" spans="1:3">
      <c r="A30" s="3" t="s">
        <v>204</v>
      </c>
      <c r="B30" s="3" t="s">
        <v>205</v>
      </c>
    </row>
    <row r="31" spans="1:3">
      <c r="A31" s="3" t="s">
        <v>206</v>
      </c>
      <c r="B31" s="3" t="s">
        <v>207</v>
      </c>
    </row>
    <row r="32" spans="1:3">
      <c r="A32" s="3" t="s">
        <v>208</v>
      </c>
      <c r="B32" s="3" t="s">
        <v>209</v>
      </c>
    </row>
    <row r="33" spans="1:2">
      <c r="A33" s="3" t="s">
        <v>210</v>
      </c>
      <c r="B33" s="3" t="s">
        <v>211</v>
      </c>
    </row>
    <row r="34" spans="1:2">
      <c r="A34" s="3" t="s">
        <v>212</v>
      </c>
      <c r="B34" s="3" t="s">
        <v>213</v>
      </c>
    </row>
    <row r="35" spans="1:2">
      <c r="A35" s="3" t="s">
        <v>214</v>
      </c>
      <c r="B35" s="3" t="s">
        <v>215</v>
      </c>
    </row>
    <row r="36" spans="1:2">
      <c r="A36" s="3" t="s">
        <v>216</v>
      </c>
      <c r="B36" s="3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workbookViewId="0">
      <selection sqref="A1:G64"/>
    </sheetView>
  </sheetViews>
  <sheetFormatPr defaultRowHeight="13.8"/>
  <cols>
    <col min="1" max="1" width="20.59765625" customWidth="1"/>
    <col min="2" max="2" width="11.69921875" customWidth="1"/>
    <col min="3" max="3" width="26" customWidth="1"/>
    <col min="4" max="4" width="20.8984375" customWidth="1"/>
    <col min="5" max="5" width="26.5" customWidth="1"/>
    <col min="6" max="7" width="10.8984375" customWidth="1"/>
    <col min="12" max="12" width="17" customWidth="1"/>
  </cols>
  <sheetData>
    <row r="1" spans="1:7" ht="27.6">
      <c r="A1" s="12" t="s">
        <v>218</v>
      </c>
      <c r="B1" s="12" t="s">
        <v>219</v>
      </c>
      <c r="C1" s="12" t="s">
        <v>98</v>
      </c>
      <c r="D1" s="12" t="s">
        <v>220</v>
      </c>
      <c r="E1" s="12" t="s">
        <v>221</v>
      </c>
      <c r="F1" s="12" t="s">
        <v>279</v>
      </c>
      <c r="G1" s="12" t="s">
        <v>289</v>
      </c>
    </row>
    <row r="2" spans="1:7">
      <c r="A2" t="s">
        <v>222</v>
      </c>
      <c r="B2" t="s">
        <v>23</v>
      </c>
      <c r="C2" t="s">
        <v>223</v>
      </c>
      <c r="D2" t="s">
        <v>224</v>
      </c>
      <c r="E2" t="s">
        <v>225</v>
      </c>
      <c r="F2" t="s">
        <v>23</v>
      </c>
      <c r="G2" t="s">
        <v>23</v>
      </c>
    </row>
    <row r="3" spans="1:7">
      <c r="A3" t="s">
        <v>226</v>
      </c>
      <c r="B3" t="s">
        <v>23</v>
      </c>
      <c r="C3" t="s">
        <v>223</v>
      </c>
      <c r="D3" t="s">
        <v>227</v>
      </c>
      <c r="E3" t="s">
        <v>228</v>
      </c>
      <c r="F3" t="s">
        <v>23</v>
      </c>
      <c r="G3" t="s">
        <v>23</v>
      </c>
    </row>
    <row r="4" spans="1:7">
      <c r="A4" t="s">
        <v>229</v>
      </c>
      <c r="B4" t="s">
        <v>23</v>
      </c>
      <c r="C4" t="s">
        <v>223</v>
      </c>
      <c r="D4" t="s">
        <v>230</v>
      </c>
      <c r="E4" t="s">
        <v>231</v>
      </c>
      <c r="F4" t="s">
        <v>23</v>
      </c>
      <c r="G4" t="s">
        <v>23</v>
      </c>
    </row>
    <row r="5" spans="1:7">
      <c r="A5" t="s">
        <v>232</v>
      </c>
      <c r="B5" t="s">
        <v>23</v>
      </c>
      <c r="C5" t="s">
        <v>233</v>
      </c>
      <c r="D5" t="s">
        <v>234</v>
      </c>
      <c r="E5" t="s">
        <v>235</v>
      </c>
      <c r="F5" t="s">
        <v>23</v>
      </c>
      <c r="G5" t="s">
        <v>23</v>
      </c>
    </row>
    <row r="6" spans="1:7">
      <c r="A6" t="s">
        <v>236</v>
      </c>
      <c r="B6" t="s">
        <v>23</v>
      </c>
      <c r="C6" t="s">
        <v>233</v>
      </c>
      <c r="D6" t="s">
        <v>237</v>
      </c>
      <c r="E6" t="s">
        <v>238</v>
      </c>
      <c r="F6" t="s">
        <v>23</v>
      </c>
      <c r="G6" t="s">
        <v>23</v>
      </c>
    </row>
    <row r="7" spans="1:7">
      <c r="A7" t="s">
        <v>239</v>
      </c>
      <c r="B7" t="s">
        <v>23</v>
      </c>
      <c r="C7" t="s">
        <v>233</v>
      </c>
      <c r="D7" t="s">
        <v>237</v>
      </c>
      <c r="E7" t="s">
        <v>238</v>
      </c>
      <c r="F7" t="s">
        <v>23</v>
      </c>
      <c r="G7" t="s">
        <v>23</v>
      </c>
    </row>
    <row r="8" spans="1:7">
      <c r="A8" t="s">
        <v>240</v>
      </c>
      <c r="B8" t="s">
        <v>23</v>
      </c>
      <c r="C8" t="s">
        <v>233</v>
      </c>
      <c r="D8" t="s">
        <v>237</v>
      </c>
      <c r="E8" t="s">
        <v>238</v>
      </c>
      <c r="F8" t="s">
        <v>23</v>
      </c>
      <c r="G8" t="s">
        <v>23</v>
      </c>
    </row>
    <row r="9" spans="1:7">
      <c r="A9" t="s">
        <v>241</v>
      </c>
      <c r="B9" t="s">
        <v>23</v>
      </c>
      <c r="C9" t="s">
        <v>233</v>
      </c>
      <c r="D9" t="s">
        <v>237</v>
      </c>
      <c r="E9" t="s">
        <v>238</v>
      </c>
      <c r="F9" t="s">
        <v>23</v>
      </c>
      <c r="G9" t="s">
        <v>23</v>
      </c>
    </row>
    <row r="10" spans="1:7">
      <c r="A10" t="s">
        <v>242</v>
      </c>
      <c r="B10" t="s">
        <v>23</v>
      </c>
      <c r="C10" t="s">
        <v>233</v>
      </c>
      <c r="D10" t="s">
        <v>234</v>
      </c>
      <c r="E10" t="s">
        <v>235</v>
      </c>
      <c r="F10" t="s">
        <v>23</v>
      </c>
      <c r="G10" t="s">
        <v>23</v>
      </c>
    </row>
    <row r="11" spans="1:7">
      <c r="A11" t="s">
        <v>243</v>
      </c>
      <c r="B11" t="s">
        <v>23</v>
      </c>
      <c r="C11" t="s">
        <v>223</v>
      </c>
      <c r="D11" t="s">
        <v>224</v>
      </c>
      <c r="E11" t="s">
        <v>244</v>
      </c>
      <c r="F11" t="s">
        <v>23</v>
      </c>
      <c r="G11" t="s">
        <v>23</v>
      </c>
    </row>
    <row r="12" spans="1:7">
      <c r="A12" t="s">
        <v>245</v>
      </c>
      <c r="B12" t="s">
        <v>23</v>
      </c>
      <c r="C12" t="s">
        <v>233</v>
      </c>
      <c r="D12" t="s">
        <v>246</v>
      </c>
      <c r="E12" t="s">
        <v>235</v>
      </c>
      <c r="F12" t="s">
        <v>23</v>
      </c>
      <c r="G12" t="s">
        <v>23</v>
      </c>
    </row>
    <row r="13" spans="1:7">
      <c r="A13" t="s">
        <v>247</v>
      </c>
      <c r="B13" t="s">
        <v>248</v>
      </c>
      <c r="C13" t="s">
        <v>249</v>
      </c>
      <c r="D13" t="s">
        <v>250</v>
      </c>
      <c r="E13" t="s">
        <v>251</v>
      </c>
      <c r="F13" t="s">
        <v>15</v>
      </c>
      <c r="G13" t="s">
        <v>23</v>
      </c>
    </row>
    <row r="14" spans="1:7">
      <c r="A14" t="s">
        <v>252</v>
      </c>
      <c r="B14" t="s">
        <v>248</v>
      </c>
      <c r="C14" t="s">
        <v>249</v>
      </c>
      <c r="D14" t="s">
        <v>250</v>
      </c>
      <c r="E14" t="s">
        <v>251</v>
      </c>
      <c r="F14" t="s">
        <v>15</v>
      </c>
      <c r="G14" t="s">
        <v>23</v>
      </c>
    </row>
    <row r="15" spans="1:7">
      <c r="A15" t="s">
        <v>253</v>
      </c>
      <c r="B15" t="s">
        <v>248</v>
      </c>
      <c r="C15" t="s">
        <v>249</v>
      </c>
      <c r="D15" t="s">
        <v>250</v>
      </c>
      <c r="E15" t="s">
        <v>251</v>
      </c>
      <c r="F15" t="s">
        <v>15</v>
      </c>
      <c r="G15" t="s">
        <v>23</v>
      </c>
    </row>
    <row r="16" spans="1:7">
      <c r="A16" t="s">
        <v>254</v>
      </c>
      <c r="B16" t="s">
        <v>248</v>
      </c>
      <c r="C16" t="s">
        <v>249</v>
      </c>
      <c r="D16" t="s">
        <v>250</v>
      </c>
      <c r="E16" t="s">
        <v>251</v>
      </c>
      <c r="F16" t="s">
        <v>15</v>
      </c>
      <c r="G16" t="s">
        <v>15</v>
      </c>
    </row>
    <row r="17" spans="1:7">
      <c r="A17" t="s">
        <v>255</v>
      </c>
      <c r="B17" t="s">
        <v>248</v>
      </c>
      <c r="C17" t="s">
        <v>249</v>
      </c>
      <c r="D17" t="s">
        <v>250</v>
      </c>
      <c r="E17" t="s">
        <v>251</v>
      </c>
      <c r="F17" t="s">
        <v>15</v>
      </c>
      <c r="G17" t="s">
        <v>15</v>
      </c>
    </row>
    <row r="18" spans="1:7">
      <c r="A18" t="s">
        <v>256</v>
      </c>
      <c r="B18" t="s">
        <v>248</v>
      </c>
      <c r="C18" t="s">
        <v>249</v>
      </c>
      <c r="D18" t="s">
        <v>250</v>
      </c>
      <c r="E18" t="s">
        <v>251</v>
      </c>
      <c r="F18" t="s">
        <v>15</v>
      </c>
      <c r="G18" t="s">
        <v>23</v>
      </c>
    </row>
    <row r="19" spans="1:7">
      <c r="A19" t="s">
        <v>257</v>
      </c>
      <c r="B19" t="s">
        <v>258</v>
      </c>
      <c r="C19" t="s">
        <v>259</v>
      </c>
      <c r="D19" t="s">
        <v>260</v>
      </c>
      <c r="E19" t="s">
        <v>261</v>
      </c>
      <c r="F19" t="s">
        <v>23</v>
      </c>
      <c r="G19" t="s">
        <v>23</v>
      </c>
    </row>
    <row r="20" spans="1:7">
      <c r="A20" t="s">
        <v>262</v>
      </c>
      <c r="B20" t="s">
        <v>258</v>
      </c>
      <c r="C20" t="s">
        <v>259</v>
      </c>
      <c r="D20" t="s">
        <v>263</v>
      </c>
      <c r="E20" t="s">
        <v>261</v>
      </c>
      <c r="F20" t="s">
        <v>248</v>
      </c>
      <c r="G20" t="s">
        <v>248</v>
      </c>
    </row>
    <row r="21" spans="1:7">
      <c r="A21" t="s">
        <v>264</v>
      </c>
      <c r="B21" t="s">
        <v>265</v>
      </c>
      <c r="C21" t="s">
        <v>266</v>
      </c>
      <c r="D21" t="s">
        <v>267</v>
      </c>
      <c r="E21" t="s">
        <v>261</v>
      </c>
      <c r="F21" t="s">
        <v>248</v>
      </c>
      <c r="G21" t="s">
        <v>248</v>
      </c>
    </row>
    <row r="22" spans="1:7">
      <c r="A22" t="s">
        <v>268</v>
      </c>
      <c r="B22" t="s">
        <v>265</v>
      </c>
      <c r="C22" t="s">
        <v>266</v>
      </c>
      <c r="D22" t="s">
        <v>267</v>
      </c>
      <c r="E22" t="s">
        <v>261</v>
      </c>
      <c r="F22" t="s">
        <v>248</v>
      </c>
      <c r="G22" t="s">
        <v>248</v>
      </c>
    </row>
    <row r="23" spans="1:7">
      <c r="A23" t="s">
        <v>269</v>
      </c>
      <c r="B23" t="s">
        <v>270</v>
      </c>
      <c r="C23" t="s">
        <v>271</v>
      </c>
      <c r="D23" t="s">
        <v>272</v>
      </c>
      <c r="E23" t="s">
        <v>273</v>
      </c>
      <c r="F23" t="s">
        <v>15</v>
      </c>
      <c r="G23" t="s">
        <v>15</v>
      </c>
    </row>
    <row r="24" spans="1:7">
      <c r="A24" t="s">
        <v>274</v>
      </c>
      <c r="B24" t="s">
        <v>15</v>
      </c>
      <c r="C24" t="s">
        <v>271</v>
      </c>
      <c r="D24" t="s">
        <v>275</v>
      </c>
      <c r="E24" t="s">
        <v>118</v>
      </c>
      <c r="F24" t="s">
        <v>15</v>
      </c>
      <c r="G24" t="s">
        <v>15</v>
      </c>
    </row>
    <row r="25" spans="1:7">
      <c r="A25" t="s">
        <v>276</v>
      </c>
      <c r="B25" t="s">
        <v>15</v>
      </c>
      <c r="C25" t="s">
        <v>271</v>
      </c>
      <c r="D25" t="s">
        <v>275</v>
      </c>
      <c r="E25" t="s">
        <v>118</v>
      </c>
      <c r="F25" t="s">
        <v>15</v>
      </c>
      <c r="G25" t="s">
        <v>15</v>
      </c>
    </row>
    <row r="26" spans="1:7">
      <c r="A26" t="s">
        <v>277</v>
      </c>
      <c r="B26" t="s">
        <v>15</v>
      </c>
      <c r="C26" t="s">
        <v>271</v>
      </c>
      <c r="D26" t="s">
        <v>275</v>
      </c>
      <c r="E26" t="s">
        <v>118</v>
      </c>
      <c r="F26" t="s">
        <v>15</v>
      </c>
      <c r="G26" t="s">
        <v>15</v>
      </c>
    </row>
    <row r="27" spans="1:7">
      <c r="A27" t="s">
        <v>278</v>
      </c>
      <c r="B27" t="s">
        <v>15</v>
      </c>
      <c r="C27" t="s">
        <v>271</v>
      </c>
      <c r="D27" t="s">
        <v>275</v>
      </c>
      <c r="E27" t="s">
        <v>118</v>
      </c>
      <c r="F27" t="s">
        <v>15</v>
      </c>
      <c r="G27" t="s">
        <v>15</v>
      </c>
    </row>
    <row r="28" spans="1:7">
      <c r="A28" s="8" t="s">
        <v>218</v>
      </c>
      <c r="B28" s="8" t="s">
        <v>279</v>
      </c>
      <c r="C28" s="8" t="s">
        <v>98</v>
      </c>
      <c r="D28" s="8" t="s">
        <v>220</v>
      </c>
      <c r="E28" s="8" t="s">
        <v>221</v>
      </c>
      <c r="F28" t="s">
        <v>279</v>
      </c>
      <c r="G28" t="s">
        <v>289</v>
      </c>
    </row>
    <row r="29" spans="1:7">
      <c r="A29" s="7" t="s">
        <v>222</v>
      </c>
      <c r="B29" s="7" t="s">
        <v>23</v>
      </c>
      <c r="C29" s="7" t="s">
        <v>223</v>
      </c>
      <c r="D29" s="7" t="s">
        <v>224</v>
      </c>
      <c r="E29" s="7" t="s">
        <v>280</v>
      </c>
      <c r="F29" t="s">
        <v>23</v>
      </c>
      <c r="G29" t="s">
        <v>23</v>
      </c>
    </row>
    <row r="30" spans="1:7">
      <c r="A30" s="7" t="s">
        <v>226</v>
      </c>
      <c r="B30" s="7" t="s">
        <v>23</v>
      </c>
      <c r="C30" s="7" t="s">
        <v>223</v>
      </c>
      <c r="D30" s="7" t="s">
        <v>224</v>
      </c>
      <c r="E30" s="7" t="s">
        <v>281</v>
      </c>
      <c r="F30" t="s">
        <v>23</v>
      </c>
      <c r="G30" t="s">
        <v>23</v>
      </c>
    </row>
    <row r="31" spans="1:7">
      <c r="A31" s="7" t="s">
        <v>229</v>
      </c>
      <c r="B31" s="7" t="s">
        <v>23</v>
      </c>
      <c r="C31" s="7" t="s">
        <v>223</v>
      </c>
      <c r="D31" s="7" t="s">
        <v>224</v>
      </c>
      <c r="E31" s="7" t="s">
        <v>280</v>
      </c>
      <c r="F31" t="s">
        <v>23</v>
      </c>
      <c r="G31" t="s">
        <v>23</v>
      </c>
    </row>
    <row r="32" spans="1:7">
      <c r="A32" s="7" t="s">
        <v>232</v>
      </c>
      <c r="B32" s="7" t="s">
        <v>23</v>
      </c>
      <c r="C32" s="7" t="s">
        <v>233</v>
      </c>
      <c r="D32" s="7" t="s">
        <v>282</v>
      </c>
      <c r="E32" s="7" t="s">
        <v>235</v>
      </c>
      <c r="F32" t="s">
        <v>23</v>
      </c>
      <c r="G32" t="s">
        <v>23</v>
      </c>
    </row>
    <row r="33" spans="1:7">
      <c r="A33" s="7" t="s">
        <v>236</v>
      </c>
      <c r="B33" s="7" t="s">
        <v>23</v>
      </c>
      <c r="C33" s="7" t="s">
        <v>233</v>
      </c>
      <c r="D33" s="7" t="s">
        <v>282</v>
      </c>
      <c r="E33" s="7" t="s">
        <v>235</v>
      </c>
      <c r="F33" t="s">
        <v>23</v>
      </c>
      <c r="G33" t="s">
        <v>23</v>
      </c>
    </row>
    <row r="34" spans="1:7">
      <c r="A34" s="7" t="s">
        <v>239</v>
      </c>
      <c r="B34" s="7" t="s">
        <v>23</v>
      </c>
      <c r="C34" s="7" t="s">
        <v>233</v>
      </c>
      <c r="D34" s="7" t="s">
        <v>282</v>
      </c>
      <c r="E34" s="7" t="s">
        <v>235</v>
      </c>
      <c r="F34" t="s">
        <v>23</v>
      </c>
      <c r="G34" t="s">
        <v>23</v>
      </c>
    </row>
    <row r="35" spans="1:7">
      <c r="A35" s="7" t="s">
        <v>240</v>
      </c>
      <c r="B35" s="7" t="s">
        <v>23</v>
      </c>
      <c r="C35" s="7" t="s">
        <v>233</v>
      </c>
      <c r="D35" s="7" t="s">
        <v>282</v>
      </c>
      <c r="E35" s="7" t="s">
        <v>235</v>
      </c>
      <c r="F35" t="s">
        <v>23</v>
      </c>
      <c r="G35" t="s">
        <v>23</v>
      </c>
    </row>
    <row r="36" spans="1:7">
      <c r="A36" s="7" t="s">
        <v>247</v>
      </c>
      <c r="B36" s="7" t="s">
        <v>283</v>
      </c>
      <c r="C36" s="7" t="s">
        <v>233</v>
      </c>
      <c r="D36" s="7" t="s">
        <v>284</v>
      </c>
      <c r="E36" s="7" t="s">
        <v>132</v>
      </c>
      <c r="F36" t="s">
        <v>15</v>
      </c>
      <c r="G36" t="s">
        <v>23</v>
      </c>
    </row>
    <row r="37" spans="1:7">
      <c r="A37" s="7" t="s">
        <v>254</v>
      </c>
      <c r="B37" s="7" t="s">
        <v>15</v>
      </c>
      <c r="C37" s="7" t="s">
        <v>285</v>
      </c>
      <c r="D37" s="7" t="s">
        <v>286</v>
      </c>
      <c r="E37" s="7" t="s">
        <v>287</v>
      </c>
      <c r="F37" t="s">
        <v>15</v>
      </c>
      <c r="G37" t="s">
        <v>15</v>
      </c>
    </row>
    <row r="38" spans="1:7">
      <c r="A38" s="7" t="s">
        <v>274</v>
      </c>
      <c r="B38" s="7" t="s">
        <v>15</v>
      </c>
      <c r="C38" s="7" t="s">
        <v>285</v>
      </c>
      <c r="D38" s="7" t="s">
        <v>286</v>
      </c>
      <c r="E38" s="7" t="s">
        <v>287</v>
      </c>
      <c r="F38" t="s">
        <v>15</v>
      </c>
      <c r="G38" t="s">
        <v>15</v>
      </c>
    </row>
    <row r="39" spans="1:7">
      <c r="A39" s="7" t="s">
        <v>272</v>
      </c>
      <c r="B39" s="7" t="s">
        <v>15</v>
      </c>
      <c r="C39" s="7" t="s">
        <v>285</v>
      </c>
      <c r="D39" s="7" t="s">
        <v>286</v>
      </c>
      <c r="E39" s="7" t="s">
        <v>287</v>
      </c>
      <c r="F39" t="s">
        <v>15</v>
      </c>
      <c r="G39" t="s">
        <v>15</v>
      </c>
    </row>
    <row r="40" spans="1:7">
      <c r="A40" s="7" t="s">
        <v>269</v>
      </c>
      <c r="B40" s="7" t="s">
        <v>261</v>
      </c>
      <c r="C40" s="7" t="s">
        <v>261</v>
      </c>
      <c r="D40" s="7" t="s">
        <v>288</v>
      </c>
      <c r="E40" s="7" t="s">
        <v>132</v>
      </c>
      <c r="F40" t="s">
        <v>15</v>
      </c>
      <c r="G40" t="s">
        <v>15</v>
      </c>
    </row>
    <row r="41" spans="1:7">
      <c r="A41" s="2" t="s">
        <v>218</v>
      </c>
      <c r="B41" s="2" t="s">
        <v>289</v>
      </c>
      <c r="C41" s="2" t="s">
        <v>290</v>
      </c>
      <c r="F41" t="s">
        <v>279</v>
      </c>
      <c r="G41" t="s">
        <v>289</v>
      </c>
    </row>
    <row r="42" spans="1:7">
      <c r="A42" t="s">
        <v>222</v>
      </c>
      <c r="B42" t="s">
        <v>23</v>
      </c>
      <c r="C42" t="s">
        <v>225</v>
      </c>
      <c r="F42" t="s">
        <v>23</v>
      </c>
      <c r="G42" t="s">
        <v>23</v>
      </c>
    </row>
    <row r="43" spans="1:7">
      <c r="A43" t="s">
        <v>226</v>
      </c>
      <c r="B43" t="s">
        <v>23</v>
      </c>
      <c r="C43" t="s">
        <v>225</v>
      </c>
      <c r="F43" t="s">
        <v>23</v>
      </c>
      <c r="G43" t="s">
        <v>23</v>
      </c>
    </row>
    <row r="44" spans="1:7">
      <c r="A44" t="s">
        <v>229</v>
      </c>
      <c r="B44" t="s">
        <v>23</v>
      </c>
      <c r="C44" t="s">
        <v>225</v>
      </c>
      <c r="F44" t="s">
        <v>23</v>
      </c>
      <c r="G44" t="s">
        <v>23</v>
      </c>
    </row>
    <row r="45" spans="1:7">
      <c r="A45" t="s">
        <v>232</v>
      </c>
      <c r="B45" t="s">
        <v>23</v>
      </c>
      <c r="C45" t="s">
        <v>291</v>
      </c>
      <c r="F45" t="s">
        <v>23</v>
      </c>
      <c r="G45" t="s">
        <v>23</v>
      </c>
    </row>
    <row r="46" spans="1:7">
      <c r="A46" t="s">
        <v>239</v>
      </c>
      <c r="B46" t="s">
        <v>23</v>
      </c>
      <c r="C46" t="s">
        <v>291</v>
      </c>
      <c r="F46" t="s">
        <v>23</v>
      </c>
      <c r="G46" t="s">
        <v>23</v>
      </c>
    </row>
    <row r="47" spans="1:7">
      <c r="A47" t="s">
        <v>236</v>
      </c>
      <c r="B47" t="s">
        <v>23</v>
      </c>
      <c r="C47" t="s">
        <v>291</v>
      </c>
      <c r="F47" t="s">
        <v>23</v>
      </c>
      <c r="G47" t="s">
        <v>23</v>
      </c>
    </row>
    <row r="48" spans="1:7">
      <c r="A48" t="s">
        <v>292</v>
      </c>
      <c r="B48" t="s">
        <v>258</v>
      </c>
      <c r="C48" t="s">
        <v>293</v>
      </c>
      <c r="F48" t="s">
        <v>248</v>
      </c>
      <c r="G48" t="s">
        <v>248</v>
      </c>
    </row>
    <row r="49" spans="1:7">
      <c r="A49" t="s">
        <v>272</v>
      </c>
      <c r="B49" t="s">
        <v>258</v>
      </c>
      <c r="C49" t="s">
        <v>294</v>
      </c>
      <c r="F49" t="s">
        <v>15</v>
      </c>
      <c r="G49" t="s">
        <v>15</v>
      </c>
    </row>
    <row r="50" spans="1:7">
      <c r="A50" t="s">
        <v>295</v>
      </c>
      <c r="B50" t="s">
        <v>15</v>
      </c>
      <c r="C50" t="s">
        <v>275</v>
      </c>
      <c r="F50" t="s">
        <v>15</v>
      </c>
      <c r="G50" t="s">
        <v>15</v>
      </c>
    </row>
    <row r="51" spans="1:7">
      <c r="A51" t="s">
        <v>296</v>
      </c>
      <c r="B51" t="s">
        <v>15</v>
      </c>
      <c r="C51" t="s">
        <v>275</v>
      </c>
      <c r="F51" t="s">
        <v>15</v>
      </c>
      <c r="G51" t="s">
        <v>15</v>
      </c>
    </row>
    <row r="52" spans="1:7">
      <c r="A52" t="s">
        <v>297</v>
      </c>
      <c r="B52" t="s">
        <v>15</v>
      </c>
      <c r="C52" t="s">
        <v>275</v>
      </c>
      <c r="F52" t="s">
        <v>15</v>
      </c>
      <c r="G52" t="s">
        <v>15</v>
      </c>
    </row>
    <row r="53" spans="1:7">
      <c r="A53" t="s">
        <v>254</v>
      </c>
      <c r="B53" t="s">
        <v>15</v>
      </c>
      <c r="C53" t="s">
        <v>275</v>
      </c>
      <c r="F53" t="s">
        <v>15</v>
      </c>
      <c r="G53" t="s">
        <v>15</v>
      </c>
    </row>
    <row r="54" spans="1:7">
      <c r="A54" t="s">
        <v>298</v>
      </c>
      <c r="B54" t="s">
        <v>15</v>
      </c>
      <c r="C54" t="s">
        <v>275</v>
      </c>
      <c r="F54" t="s">
        <v>15</v>
      </c>
      <c r="G54" t="s">
        <v>15</v>
      </c>
    </row>
    <row r="55" spans="1:7">
      <c r="A55" t="s">
        <v>299</v>
      </c>
      <c r="B55" t="s">
        <v>15</v>
      </c>
      <c r="C55" t="s">
        <v>275</v>
      </c>
      <c r="F55" t="s">
        <v>15</v>
      </c>
      <c r="G55" t="s">
        <v>23</v>
      </c>
    </row>
    <row r="56" spans="1:7">
      <c r="A56" t="s">
        <v>300</v>
      </c>
      <c r="B56" t="s">
        <v>15</v>
      </c>
      <c r="C56" t="s">
        <v>275</v>
      </c>
      <c r="F56" t="s">
        <v>15</v>
      </c>
      <c r="G56" t="s">
        <v>23</v>
      </c>
    </row>
    <row r="57" spans="1:7">
      <c r="A57" t="s">
        <v>301</v>
      </c>
      <c r="B57" t="s">
        <v>15</v>
      </c>
      <c r="C57" t="s">
        <v>275</v>
      </c>
      <c r="F57" t="s">
        <v>15</v>
      </c>
      <c r="G57" t="s">
        <v>23</v>
      </c>
    </row>
    <row r="58" spans="1:7">
      <c r="A58" t="s">
        <v>302</v>
      </c>
      <c r="B58" t="s">
        <v>15</v>
      </c>
      <c r="C58" t="s">
        <v>275</v>
      </c>
      <c r="F58" t="s">
        <v>15</v>
      </c>
      <c r="G58" t="s">
        <v>23</v>
      </c>
    </row>
    <row r="59" spans="1:7">
      <c r="A59" t="s">
        <v>274</v>
      </c>
      <c r="B59" t="s">
        <v>15</v>
      </c>
      <c r="C59" t="s">
        <v>275</v>
      </c>
      <c r="F59" t="s">
        <v>15</v>
      </c>
      <c r="G59" t="s">
        <v>15</v>
      </c>
    </row>
    <row r="60" spans="1:7">
      <c r="A60" t="s">
        <v>276</v>
      </c>
      <c r="B60" t="s">
        <v>15</v>
      </c>
      <c r="C60" t="s">
        <v>275</v>
      </c>
      <c r="F60" t="s">
        <v>15</v>
      </c>
      <c r="G60" t="s">
        <v>15</v>
      </c>
    </row>
    <row r="61" spans="1:7">
      <c r="A61" t="s">
        <v>303</v>
      </c>
      <c r="B61" t="s">
        <v>15</v>
      </c>
      <c r="C61" t="s">
        <v>275</v>
      </c>
      <c r="F61" t="s">
        <v>248</v>
      </c>
      <c r="G61" t="s">
        <v>248</v>
      </c>
    </row>
    <row r="62" spans="1:7">
      <c r="A62" t="s">
        <v>304</v>
      </c>
      <c r="B62" t="s">
        <v>15</v>
      </c>
      <c r="C62" t="s">
        <v>275</v>
      </c>
      <c r="F62" t="s">
        <v>248</v>
      </c>
      <c r="G62" t="s">
        <v>248</v>
      </c>
    </row>
    <row r="63" spans="1:7">
      <c r="A63" t="s">
        <v>305</v>
      </c>
      <c r="B63" t="s">
        <v>15</v>
      </c>
      <c r="C63" t="s">
        <v>275</v>
      </c>
      <c r="F63" t="s">
        <v>15</v>
      </c>
      <c r="G63" t="s">
        <v>15</v>
      </c>
    </row>
    <row r="64" spans="1:7">
      <c r="A64" t="s">
        <v>306</v>
      </c>
      <c r="B64" t="s">
        <v>15</v>
      </c>
      <c r="C64" t="s">
        <v>275</v>
      </c>
      <c r="F64" t="s">
        <v>15</v>
      </c>
      <c r="G6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topLeftCell="A22" workbookViewId="0"/>
  </sheetViews>
  <sheetFormatPr defaultRowHeight="13.8"/>
  <cols>
    <col min="1" max="1" width="7.8984375" customWidth="1"/>
    <col min="2" max="2" width="35" customWidth="1"/>
    <col min="3" max="3" width="40.3984375" customWidth="1"/>
  </cols>
  <sheetData>
    <row r="1" spans="1:3">
      <c r="A1" s="6" t="s">
        <v>10</v>
      </c>
      <c r="B1" s="6"/>
      <c r="C1" s="6"/>
    </row>
    <row r="2" spans="1:3" ht="10.5" customHeight="1">
      <c r="A2" s="6" t="s">
        <v>307</v>
      </c>
      <c r="B2" s="6" t="s">
        <v>147</v>
      </c>
      <c r="C2" s="6" t="s">
        <v>308</v>
      </c>
    </row>
    <row r="3" spans="1:3">
      <c r="A3" t="s">
        <v>309</v>
      </c>
      <c r="B3" t="s">
        <v>310</v>
      </c>
      <c r="C3" t="s">
        <v>311</v>
      </c>
    </row>
    <row r="4" spans="1:3">
      <c r="A4" t="s">
        <v>312</v>
      </c>
      <c r="B4" t="s">
        <v>313</v>
      </c>
      <c r="C4" t="s">
        <v>103</v>
      </c>
    </row>
    <row r="5" spans="1:3">
      <c r="A5" t="s">
        <v>314</v>
      </c>
      <c r="B5" t="s">
        <v>315</v>
      </c>
      <c r="C5" t="s">
        <v>316</v>
      </c>
    </row>
    <row r="6" spans="1:3">
      <c r="A6" t="s">
        <v>317</v>
      </c>
      <c r="B6" t="s">
        <v>318</v>
      </c>
      <c r="C6" t="s">
        <v>319</v>
      </c>
    </row>
    <row r="7" spans="1:3">
      <c r="A7" t="s">
        <v>320</v>
      </c>
      <c r="B7" t="s">
        <v>321</v>
      </c>
      <c r="C7" t="s">
        <v>118</v>
      </c>
    </row>
    <row r="8" spans="1:3">
      <c r="A8" t="s">
        <v>322</v>
      </c>
      <c r="B8" t="s">
        <v>323</v>
      </c>
      <c r="C8" t="s">
        <v>118</v>
      </c>
    </row>
    <row r="9" spans="1:3">
      <c r="A9" t="s">
        <v>324</v>
      </c>
      <c r="B9" t="s">
        <v>325</v>
      </c>
      <c r="C9" t="s">
        <v>118</v>
      </c>
    </row>
    <row r="10" spans="1:3">
      <c r="A10" t="s">
        <v>326</v>
      </c>
      <c r="B10" t="s">
        <v>327</v>
      </c>
      <c r="C10" t="s">
        <v>118</v>
      </c>
    </row>
    <row r="11" spans="1:3">
      <c r="A11" t="s">
        <v>328</v>
      </c>
      <c r="B11" t="s">
        <v>329</v>
      </c>
      <c r="C11" t="s">
        <v>118</v>
      </c>
    </row>
    <row r="12" spans="1:3">
      <c r="A12" t="s">
        <v>330</v>
      </c>
      <c r="B12" t="s">
        <v>331</v>
      </c>
      <c r="C12" t="s">
        <v>332</v>
      </c>
    </row>
    <row r="13" spans="1:3">
      <c r="A13" t="s">
        <v>333</v>
      </c>
      <c r="B13" t="s">
        <v>334</v>
      </c>
      <c r="C13" t="s">
        <v>335</v>
      </c>
    </row>
    <row r="14" spans="1:3">
      <c r="A14" t="s">
        <v>336</v>
      </c>
      <c r="B14" t="s">
        <v>337</v>
      </c>
      <c r="C14" t="s">
        <v>338</v>
      </c>
    </row>
    <row r="15" spans="1:3">
      <c r="A15" t="s">
        <v>339</v>
      </c>
      <c r="B15" t="s">
        <v>340</v>
      </c>
      <c r="C15" t="s">
        <v>341</v>
      </c>
    </row>
    <row r="16" spans="1:3">
      <c r="A16" t="s">
        <v>342</v>
      </c>
      <c r="B16" t="s">
        <v>343</v>
      </c>
      <c r="C16" t="s">
        <v>344</v>
      </c>
    </row>
    <row r="17" spans="1:3">
      <c r="A17" t="s">
        <v>345</v>
      </c>
      <c r="B17" t="s">
        <v>346</v>
      </c>
      <c r="C17" t="s">
        <v>347</v>
      </c>
    </row>
    <row r="18" spans="1:3">
      <c r="A18" s="2" t="s">
        <v>348</v>
      </c>
      <c r="B18" s="2"/>
      <c r="C18" s="2"/>
    </row>
    <row r="19" spans="1:3">
      <c r="A19" s="8" t="s">
        <v>96</v>
      </c>
      <c r="B19" s="8" t="s">
        <v>147</v>
      </c>
      <c r="C19" s="8" t="s">
        <v>308</v>
      </c>
    </row>
    <row r="20" spans="1:3">
      <c r="A20" s="7" t="s">
        <v>309</v>
      </c>
      <c r="B20" s="7" t="s">
        <v>349</v>
      </c>
      <c r="C20" s="7" t="s">
        <v>350</v>
      </c>
    </row>
    <row r="21" spans="1:3">
      <c r="A21" s="7" t="s">
        <v>312</v>
      </c>
      <c r="B21" s="7" t="s">
        <v>351</v>
      </c>
      <c r="C21" s="7" t="s">
        <v>352</v>
      </c>
    </row>
    <row r="22" spans="1:3">
      <c r="A22" s="7" t="s">
        <v>314</v>
      </c>
      <c r="B22" s="7" t="s">
        <v>331</v>
      </c>
      <c r="C22" s="7" t="s">
        <v>353</v>
      </c>
    </row>
    <row r="23" spans="1:3">
      <c r="A23" s="7" t="s">
        <v>317</v>
      </c>
      <c r="B23" s="7" t="s">
        <v>354</v>
      </c>
      <c r="C23" s="7" t="s">
        <v>353</v>
      </c>
    </row>
    <row r="24" spans="1:3">
      <c r="A24" s="7" t="s">
        <v>320</v>
      </c>
      <c r="B24" s="7" t="s">
        <v>355</v>
      </c>
      <c r="C24" s="7" t="s">
        <v>353</v>
      </c>
    </row>
    <row r="25" spans="1:3">
      <c r="A25" s="7" t="s">
        <v>322</v>
      </c>
      <c r="B25" s="7" t="s">
        <v>356</v>
      </c>
      <c r="C25" s="7" t="s">
        <v>357</v>
      </c>
    </row>
    <row r="26" spans="1:3">
      <c r="A26" s="7" t="s">
        <v>324</v>
      </c>
      <c r="B26" s="7" t="s">
        <v>358</v>
      </c>
      <c r="C26" s="7" t="s">
        <v>359</v>
      </c>
    </row>
    <row r="27" spans="1:3">
      <c r="A27" s="7" t="s">
        <v>326</v>
      </c>
      <c r="B27" s="7" t="s">
        <v>360</v>
      </c>
      <c r="C27" s="7" t="s">
        <v>361</v>
      </c>
    </row>
    <row r="28" spans="1:3">
      <c r="A28" s="7" t="s">
        <v>328</v>
      </c>
      <c r="B28" s="7" t="s">
        <v>362</v>
      </c>
      <c r="C28" s="7" t="s">
        <v>363</v>
      </c>
    </row>
    <row r="29" spans="1:3">
      <c r="A29" s="7" t="s">
        <v>330</v>
      </c>
      <c r="B29" s="7" t="s">
        <v>364</v>
      </c>
      <c r="C29" s="7" t="s">
        <v>365</v>
      </c>
    </row>
    <row r="30" spans="1:3">
      <c r="A30" s="7" t="s">
        <v>333</v>
      </c>
      <c r="B30" s="7" t="s">
        <v>272</v>
      </c>
      <c r="C30" s="7" t="s">
        <v>132</v>
      </c>
    </row>
    <row r="31" spans="1:3">
      <c r="A31" s="7" t="s">
        <v>336</v>
      </c>
      <c r="B31" s="7" t="s">
        <v>366</v>
      </c>
      <c r="C31" s="7" t="s">
        <v>287</v>
      </c>
    </row>
    <row r="32" spans="1:3">
      <c r="A32" s="8" t="s">
        <v>68</v>
      </c>
      <c r="B32" s="8"/>
      <c r="C32" s="8"/>
    </row>
    <row r="33" spans="1:3">
      <c r="A33" s="2" t="s">
        <v>96</v>
      </c>
      <c r="B33" s="2" t="s">
        <v>147</v>
      </c>
      <c r="C33" s="2" t="s">
        <v>308</v>
      </c>
    </row>
    <row r="34" spans="1:3">
      <c r="A34" t="s">
        <v>367</v>
      </c>
      <c r="B34" t="s">
        <v>368</v>
      </c>
      <c r="C34" t="s">
        <v>369</v>
      </c>
    </row>
    <row r="35" spans="1:3">
      <c r="A35" t="s">
        <v>370</v>
      </c>
      <c r="B35" t="s">
        <v>371</v>
      </c>
      <c r="C35" t="s">
        <v>372</v>
      </c>
    </row>
    <row r="36" spans="1:3">
      <c r="A36" t="s">
        <v>373</v>
      </c>
      <c r="B36" t="s">
        <v>374</v>
      </c>
      <c r="C36" t="s">
        <v>372</v>
      </c>
    </row>
    <row r="37" spans="1:3">
      <c r="A37" t="s">
        <v>375</v>
      </c>
      <c r="B37" t="s">
        <v>376</v>
      </c>
      <c r="C37" t="s">
        <v>372</v>
      </c>
    </row>
    <row r="38" spans="1:3">
      <c r="A38" t="s">
        <v>377</v>
      </c>
      <c r="B38" t="s">
        <v>378</v>
      </c>
      <c r="C38" t="s">
        <v>372</v>
      </c>
    </row>
    <row r="39" spans="1:3">
      <c r="A39" t="s">
        <v>379</v>
      </c>
      <c r="B39" t="s">
        <v>380</v>
      </c>
      <c r="C39" t="s">
        <v>372</v>
      </c>
    </row>
    <row r="40" spans="1:3">
      <c r="A40" t="s">
        <v>381</v>
      </c>
      <c r="B40" t="s">
        <v>141</v>
      </c>
      <c r="C40" t="s">
        <v>132</v>
      </c>
    </row>
    <row r="41" spans="1:3">
      <c r="A41" t="s">
        <v>382</v>
      </c>
      <c r="B41" t="s">
        <v>383</v>
      </c>
      <c r="C41" t="s">
        <v>372</v>
      </c>
    </row>
    <row r="42" spans="1:3">
      <c r="A42" t="s">
        <v>384</v>
      </c>
      <c r="B42" t="s">
        <v>385</v>
      </c>
      <c r="C42" t="s">
        <v>386</v>
      </c>
    </row>
    <row r="43" spans="1:3">
      <c r="A43" t="s">
        <v>387</v>
      </c>
      <c r="B43" t="s">
        <v>360</v>
      </c>
      <c r="C43" t="s">
        <v>388</v>
      </c>
    </row>
    <row r="44" spans="1:3">
      <c r="A44" t="s">
        <v>389</v>
      </c>
      <c r="B44" t="s">
        <v>207</v>
      </c>
      <c r="C44" t="s">
        <v>390</v>
      </c>
    </row>
    <row r="45" spans="1:3">
      <c r="A45" t="s">
        <v>391</v>
      </c>
      <c r="B45" t="s">
        <v>392</v>
      </c>
      <c r="C45" t="s">
        <v>393</v>
      </c>
    </row>
    <row r="46" spans="1:3">
      <c r="A46" t="s">
        <v>394</v>
      </c>
      <c r="B46" t="s">
        <v>395</v>
      </c>
      <c r="C46" t="s">
        <v>396</v>
      </c>
    </row>
    <row r="47" spans="1:3">
      <c r="A47" t="s">
        <v>397</v>
      </c>
      <c r="B47" t="s">
        <v>292</v>
      </c>
      <c r="C47" t="s">
        <v>398</v>
      </c>
    </row>
    <row r="48" spans="1:3">
      <c r="A48" t="s">
        <v>399</v>
      </c>
      <c r="B48" t="s">
        <v>272</v>
      </c>
      <c r="C48" t="s">
        <v>400</v>
      </c>
    </row>
    <row r="49" spans="1:3">
      <c r="A49" t="s">
        <v>401</v>
      </c>
      <c r="B49" t="s">
        <v>402</v>
      </c>
      <c r="C49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3.8"/>
  <cols>
    <col min="7" max="7" width="9.59765625" customWidth="1"/>
    <col min="8" max="8" width="10.8984375" customWidth="1"/>
    <col min="9" max="9" width="13.69921875" customWidth="1"/>
    <col min="10" max="10" width="48.59765625" customWidth="1"/>
  </cols>
  <sheetData>
    <row r="1" spans="1:10">
      <c r="A1" s="9" t="s">
        <v>403</v>
      </c>
      <c r="B1" s="9" t="s">
        <v>218</v>
      </c>
      <c r="C1" s="9" t="s">
        <v>404</v>
      </c>
      <c r="D1" s="9" t="s">
        <v>405</v>
      </c>
      <c r="E1" s="9" t="s">
        <v>406</v>
      </c>
      <c r="F1" s="9" t="s">
        <v>407</v>
      </c>
      <c r="G1" s="9" t="s">
        <v>97</v>
      </c>
      <c r="H1" s="9" t="s">
        <v>408</v>
      </c>
      <c r="I1" s="9" t="s">
        <v>409</v>
      </c>
      <c r="J1" s="9" t="s">
        <v>410</v>
      </c>
    </row>
    <row r="2" spans="1:10">
      <c r="A2" s="3">
        <v>1</v>
      </c>
      <c r="B2" t="s">
        <v>411</v>
      </c>
      <c r="C2" t="s">
        <v>12</v>
      </c>
      <c r="D2" t="s">
        <v>412</v>
      </c>
      <c r="E2" t="s">
        <v>413</v>
      </c>
      <c r="F2" t="s">
        <v>414</v>
      </c>
      <c r="G2" s="1">
        <v>20</v>
      </c>
      <c r="H2" t="s">
        <v>415</v>
      </c>
      <c r="I2" t="s">
        <v>10</v>
      </c>
      <c r="J2" t="s">
        <v>416</v>
      </c>
    </row>
    <row r="3" spans="1:10">
      <c r="A3" s="3">
        <v>2</v>
      </c>
      <c r="B3" t="s">
        <v>239</v>
      </c>
      <c r="C3" t="s">
        <v>417</v>
      </c>
      <c r="D3" t="s">
        <v>418</v>
      </c>
      <c r="E3" t="s">
        <v>419</v>
      </c>
      <c r="F3" t="s">
        <v>420</v>
      </c>
      <c r="G3" s="1">
        <v>1800</v>
      </c>
      <c r="H3" t="s">
        <v>415</v>
      </c>
      <c r="I3" t="s">
        <v>10</v>
      </c>
      <c r="J3" t="s">
        <v>421</v>
      </c>
    </row>
    <row r="4" spans="1:10">
      <c r="A4" s="3">
        <v>3</v>
      </c>
      <c r="B4" t="s">
        <v>222</v>
      </c>
      <c r="C4" t="s">
        <v>422</v>
      </c>
      <c r="D4" t="s">
        <v>423</v>
      </c>
      <c r="E4" t="s">
        <v>418</v>
      </c>
      <c r="F4" t="s">
        <v>419</v>
      </c>
      <c r="G4" s="1">
        <v>150</v>
      </c>
      <c r="H4" t="s">
        <v>415</v>
      </c>
      <c r="I4" t="s">
        <v>43</v>
      </c>
      <c r="J4" t="s">
        <v>424</v>
      </c>
    </row>
    <row r="5" spans="1:10">
      <c r="A5" s="3">
        <v>4</v>
      </c>
      <c r="B5" t="s">
        <v>247</v>
      </c>
      <c r="C5" t="s">
        <v>12</v>
      </c>
      <c r="D5" t="s">
        <v>413</v>
      </c>
      <c r="E5" t="s">
        <v>413</v>
      </c>
      <c r="F5" t="s">
        <v>420</v>
      </c>
      <c r="G5" s="1">
        <v>800</v>
      </c>
      <c r="H5" t="s">
        <v>415</v>
      </c>
      <c r="I5" t="s">
        <v>425</v>
      </c>
      <c r="J5" t="s">
        <v>426</v>
      </c>
    </row>
    <row r="6" spans="1:10">
      <c r="A6" s="3">
        <v>5</v>
      </c>
      <c r="B6" t="s">
        <v>427</v>
      </c>
      <c r="C6" t="s">
        <v>428</v>
      </c>
      <c r="D6" t="s">
        <v>429</v>
      </c>
      <c r="E6" t="s">
        <v>423</v>
      </c>
      <c r="F6" t="s">
        <v>423</v>
      </c>
      <c r="G6" s="1">
        <v>3000</v>
      </c>
      <c r="H6" t="s">
        <v>430</v>
      </c>
      <c r="I6" t="s">
        <v>68</v>
      </c>
      <c r="J6" t="s">
        <v>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activeCell="E28" sqref="E28"/>
    </sheetView>
  </sheetViews>
  <sheetFormatPr defaultRowHeight="13.8"/>
  <cols>
    <col min="1" max="1" width="24" customWidth="1"/>
    <col min="2" max="2" width="11.09765625" customWidth="1"/>
    <col min="3" max="3" width="28" customWidth="1"/>
    <col min="4" max="4" width="16.19921875" customWidth="1"/>
    <col min="5" max="5" width="20.59765625" customWidth="1"/>
    <col min="6" max="8" width="32" customWidth="1"/>
  </cols>
  <sheetData>
    <row r="1" spans="1:8" ht="14.4">
      <c r="A1" s="14" t="s">
        <v>441</v>
      </c>
      <c r="B1" s="15"/>
      <c r="C1" s="15"/>
      <c r="D1" s="15"/>
      <c r="E1" s="15"/>
      <c r="F1" s="15"/>
      <c r="G1" s="15"/>
      <c r="H1" s="15"/>
    </row>
    <row r="3" spans="1:8" ht="27.6">
      <c r="A3" s="12" t="s">
        <v>442</v>
      </c>
      <c r="B3" s="12" t="s">
        <v>443</v>
      </c>
      <c r="C3" s="12" t="s">
        <v>444</v>
      </c>
      <c r="D3" s="12" t="s">
        <v>445</v>
      </c>
      <c r="E3" s="12" t="s">
        <v>446</v>
      </c>
      <c r="F3" s="12" t="s">
        <v>447</v>
      </c>
      <c r="G3" s="12" t="s">
        <v>448</v>
      </c>
      <c r="H3" s="12" t="s">
        <v>449</v>
      </c>
    </row>
    <row r="4" spans="1:8">
      <c r="A4" t="s">
        <v>450</v>
      </c>
      <c r="B4" s="10">
        <v>0.35</v>
      </c>
      <c r="C4" t="s">
        <v>4</v>
      </c>
      <c r="D4" s="11">
        <v>0.15</v>
      </c>
      <c r="E4" s="11">
        <v>0.21</v>
      </c>
      <c r="F4" t="s">
        <v>4</v>
      </c>
      <c r="G4" t="s">
        <v>451</v>
      </c>
      <c r="H4" t="s">
        <v>452</v>
      </c>
    </row>
    <row r="5" spans="1:8">
      <c r="A5" t="s">
        <v>450</v>
      </c>
      <c r="B5" s="10">
        <v>0.35</v>
      </c>
      <c r="C5" t="s">
        <v>453</v>
      </c>
      <c r="D5" s="11">
        <v>0.1</v>
      </c>
      <c r="E5" s="11">
        <v>0.13999999999999999</v>
      </c>
      <c r="F5" t="s">
        <v>454</v>
      </c>
      <c r="G5" t="s">
        <v>455</v>
      </c>
      <c r="H5" t="s">
        <v>456</v>
      </c>
    </row>
    <row r="6" spans="1:8">
      <c r="A6" t="s">
        <v>457</v>
      </c>
      <c r="B6" s="10">
        <v>0.28000000000000003</v>
      </c>
      <c r="C6" t="s">
        <v>458</v>
      </c>
      <c r="D6" s="11">
        <v>0.2</v>
      </c>
      <c r="E6" s="11">
        <v>0.2</v>
      </c>
      <c r="F6" t="s">
        <v>7</v>
      </c>
      <c r="G6" t="s">
        <v>459</v>
      </c>
      <c r="H6" t="s">
        <v>460</v>
      </c>
    </row>
    <row r="7" spans="1:8">
      <c r="A7" t="s">
        <v>457</v>
      </c>
      <c r="B7" s="10">
        <v>0.28000000000000003</v>
      </c>
      <c r="C7" t="s">
        <v>461</v>
      </c>
      <c r="D7" s="11">
        <v>0.08</v>
      </c>
      <c r="E7" s="11">
        <v>0.08</v>
      </c>
      <c r="F7" t="s">
        <v>432</v>
      </c>
      <c r="G7" t="s">
        <v>462</v>
      </c>
      <c r="H7" t="s">
        <v>463</v>
      </c>
    </row>
    <row r="8" spans="1:8">
      <c r="A8" t="s">
        <v>464</v>
      </c>
      <c r="B8" s="10">
        <v>0.2</v>
      </c>
      <c r="C8" t="s">
        <v>465</v>
      </c>
      <c r="D8" s="11">
        <v>7.0000000000000007E-2</v>
      </c>
      <c r="E8" s="11">
        <v>6.9999999999999993E-2</v>
      </c>
      <c r="F8" t="s">
        <v>5</v>
      </c>
      <c r="G8" t="s">
        <v>466</v>
      </c>
      <c r="H8" t="s">
        <v>467</v>
      </c>
    </row>
    <row r="9" spans="1:8">
      <c r="A9" t="s">
        <v>464</v>
      </c>
      <c r="B9" s="10">
        <v>0.2</v>
      </c>
      <c r="C9" t="s">
        <v>468</v>
      </c>
      <c r="D9" s="11">
        <v>0.08</v>
      </c>
      <c r="E9" s="11">
        <v>8.0000000000000016E-2</v>
      </c>
      <c r="F9" t="s">
        <v>433</v>
      </c>
      <c r="G9" t="s">
        <v>469</v>
      </c>
      <c r="H9" t="s">
        <v>463</v>
      </c>
    </row>
    <row r="10" spans="1:8">
      <c r="A10" t="s">
        <v>464</v>
      </c>
      <c r="B10" s="10">
        <v>0.2</v>
      </c>
      <c r="C10" t="s">
        <v>470</v>
      </c>
      <c r="D10" s="11">
        <v>0.05</v>
      </c>
      <c r="E10" s="11">
        <v>0.05</v>
      </c>
      <c r="F10" t="s">
        <v>471</v>
      </c>
      <c r="G10" t="s">
        <v>472</v>
      </c>
      <c r="H10" t="s">
        <v>463</v>
      </c>
    </row>
    <row r="11" spans="1:8">
      <c r="A11" t="s">
        <v>473</v>
      </c>
      <c r="B11" s="10">
        <v>0.12</v>
      </c>
      <c r="C11" t="s">
        <v>474</v>
      </c>
      <c r="D11" s="11">
        <v>0.08</v>
      </c>
      <c r="E11" s="11">
        <v>7.9999999999999988E-2</v>
      </c>
      <c r="F11" t="s">
        <v>6</v>
      </c>
      <c r="G11" t="s">
        <v>475</v>
      </c>
      <c r="H11" t="s">
        <v>476</v>
      </c>
    </row>
    <row r="12" spans="1:8">
      <c r="A12" t="s">
        <v>473</v>
      </c>
      <c r="B12" s="10">
        <v>0.12</v>
      </c>
      <c r="C12" t="s">
        <v>477</v>
      </c>
      <c r="D12" s="11">
        <v>0.04</v>
      </c>
      <c r="E12" s="11">
        <v>3.9999999999999994E-2</v>
      </c>
      <c r="F12" t="s">
        <v>478</v>
      </c>
      <c r="G12" t="s">
        <v>479</v>
      </c>
      <c r="H12" t="s">
        <v>480</v>
      </c>
    </row>
    <row r="13" spans="1:8">
      <c r="A13" t="s">
        <v>481</v>
      </c>
      <c r="B13" s="10">
        <v>0.05</v>
      </c>
      <c r="C13" t="s">
        <v>9</v>
      </c>
      <c r="D13" s="11">
        <v>0.05</v>
      </c>
      <c r="E13" s="11">
        <v>0.05</v>
      </c>
      <c r="F13" t="s">
        <v>9</v>
      </c>
      <c r="G13" t="s">
        <v>482</v>
      </c>
      <c r="H13" t="s">
        <v>483</v>
      </c>
    </row>
    <row r="16" spans="1:8">
      <c r="A16" t="s">
        <v>484</v>
      </c>
    </row>
    <row r="17" spans="1:2">
      <c r="A17" t="s">
        <v>485</v>
      </c>
      <c r="B17" s="10">
        <v>1</v>
      </c>
    </row>
    <row r="18" spans="1:2">
      <c r="A18" t="s">
        <v>486</v>
      </c>
      <c r="B18" s="10">
        <f>SUM(E4:E13)</f>
        <v>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E9" sqref="E9"/>
    </sheetView>
  </sheetViews>
  <sheetFormatPr defaultRowHeight="13.8"/>
  <cols>
    <col min="1" max="1" width="34" customWidth="1"/>
    <col min="2" max="2" width="4.19921875" customWidth="1"/>
    <col min="3" max="3" width="6.5" customWidth="1"/>
    <col min="4" max="4" width="6" customWidth="1"/>
    <col min="5" max="5" width="8.19921875" customWidth="1"/>
    <col min="6" max="6" width="6.69921875" customWidth="1"/>
    <col min="7" max="7" width="50" customWidth="1"/>
  </cols>
  <sheetData>
    <row r="1" spans="1:8" ht="14.4">
      <c r="A1" s="14" t="s">
        <v>487</v>
      </c>
      <c r="B1" s="15"/>
      <c r="C1" s="15"/>
      <c r="D1" s="15"/>
      <c r="E1" s="15"/>
      <c r="F1" s="15"/>
      <c r="G1" s="15"/>
      <c r="H1" s="13"/>
    </row>
    <row r="3" spans="1:8" ht="27.6">
      <c r="A3" s="12" t="s">
        <v>488</v>
      </c>
      <c r="B3" s="12" t="s">
        <v>489</v>
      </c>
      <c r="C3" s="12" t="s">
        <v>7</v>
      </c>
      <c r="D3" s="12" t="s">
        <v>146</v>
      </c>
      <c r="E3" s="12" t="s">
        <v>490</v>
      </c>
      <c r="F3" s="12" t="s">
        <v>491</v>
      </c>
      <c r="G3" s="12" t="s">
        <v>492</v>
      </c>
    </row>
    <row r="4" spans="1:8">
      <c r="A4" t="s">
        <v>493</v>
      </c>
      <c r="B4" s="10">
        <v>0.35</v>
      </c>
      <c r="C4" s="10">
        <v>0.28000000000000003</v>
      </c>
      <c r="D4" s="10">
        <v>0.2</v>
      </c>
      <c r="E4" s="10">
        <v>0.12</v>
      </c>
      <c r="F4" s="10">
        <v>0.05</v>
      </c>
      <c r="G4" t="s">
        <v>494</v>
      </c>
    </row>
    <row r="5" spans="1:8">
      <c r="A5" t="s">
        <v>495</v>
      </c>
      <c r="B5" s="10">
        <v>0.55000000000000004</v>
      </c>
      <c r="C5" s="10">
        <v>0.2</v>
      </c>
      <c r="D5" s="10">
        <v>0.1</v>
      </c>
      <c r="E5" s="10">
        <v>0.1</v>
      </c>
      <c r="F5" s="10">
        <v>0.05</v>
      </c>
      <c r="G5" t="s">
        <v>496</v>
      </c>
    </row>
    <row r="6" spans="1:8">
      <c r="A6" t="s">
        <v>497</v>
      </c>
      <c r="B6" s="10">
        <v>0.2</v>
      </c>
      <c r="C6" s="10">
        <v>0.5</v>
      </c>
      <c r="D6" s="10">
        <v>0.15</v>
      </c>
      <c r="E6" s="10">
        <v>0.1</v>
      </c>
      <c r="F6" s="10">
        <v>0.05</v>
      </c>
      <c r="G6" t="s">
        <v>498</v>
      </c>
    </row>
    <row r="7" spans="1:8">
      <c r="A7" t="s">
        <v>499</v>
      </c>
      <c r="B7" s="10">
        <v>0.2</v>
      </c>
      <c r="C7" s="10">
        <v>0.15</v>
      </c>
      <c r="D7" s="10">
        <v>0.15</v>
      </c>
      <c r="E7" s="10">
        <v>0.45</v>
      </c>
      <c r="F7" s="10">
        <v>0.05</v>
      </c>
      <c r="G7" t="s">
        <v>500</v>
      </c>
    </row>
    <row r="8" spans="1:8">
      <c r="A8" t="s">
        <v>501</v>
      </c>
      <c r="B8" s="10">
        <v>0.3</v>
      </c>
      <c r="C8" s="10">
        <v>0.25</v>
      </c>
      <c r="D8" s="10">
        <v>0.15</v>
      </c>
      <c r="E8" s="10">
        <v>0.1</v>
      </c>
      <c r="F8" s="10">
        <v>0.2</v>
      </c>
      <c r="G8" t="s">
        <v>502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Grundpreis</vt:lpstr>
      <vt:lpstr>Versicherung</vt:lpstr>
      <vt:lpstr>Zusatzservices</vt:lpstr>
      <vt:lpstr>Sonderregeln nach Warenart</vt:lpstr>
      <vt:lpstr>Entscheidungsregeln</vt:lpstr>
      <vt:lpstr>Testfälle</vt:lpstr>
      <vt:lpstr>Gewichtung</vt:lpstr>
      <vt:lpstr>Sensitivität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Vivobook</cp:lastModifiedBy>
  <dcterms:modified xsi:type="dcterms:W3CDTF">2026-06-18T22:54:52Z</dcterms:modified>
</cp:coreProperties>
</file>